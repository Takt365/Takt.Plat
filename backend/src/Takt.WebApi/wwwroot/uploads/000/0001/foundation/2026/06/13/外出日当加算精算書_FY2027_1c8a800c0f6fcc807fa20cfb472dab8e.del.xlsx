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6\1100\1150\00_人事労政課共通\10_JR乗車券・指定券申込\外出日当加算精算書\"/>
    </mc:Choice>
  </mc:AlternateContent>
  <xr:revisionPtr revIDLastSave="0" documentId="8_{3811ECCF-7298-41A1-8624-A94581B9DE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Print_Area" localSheetId="0">Sheet1!$A$1:$V$53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M45" i="1"/>
  <c r="G68" i="1"/>
  <c r="I68" i="1" s="1"/>
  <c r="G67" i="1"/>
  <c r="I67" i="1" s="1"/>
  <c r="G66" i="1"/>
  <c r="I66" i="1" s="1"/>
  <c r="G65" i="1"/>
  <c r="I65" i="1" s="1"/>
  <c r="G64" i="1"/>
  <c r="I64" i="1" s="1"/>
  <c r="G63" i="1"/>
  <c r="I63" i="1" s="1"/>
  <c r="G62" i="1"/>
  <c r="I62" i="1" s="1"/>
  <c r="G61" i="1"/>
  <c r="I61" i="1" s="1"/>
  <c r="G60" i="1"/>
  <c r="I60" i="1" s="1"/>
  <c r="G59" i="1"/>
  <c r="I59" i="1" s="1"/>
  <c r="G58" i="1"/>
  <c r="I58" i="1" s="1"/>
  <c r="G57" i="1"/>
  <c r="I57" i="1" s="1"/>
  <c r="M42" i="1" l="1"/>
  <c r="M43" i="1" s="1"/>
  <c r="H1" i="1"/>
  <c r="M46" i="1" l="1"/>
</calcChain>
</file>

<file path=xl/sharedStrings.xml><?xml version="1.0" encoding="utf-8"?>
<sst xmlns="http://schemas.openxmlformats.org/spreadsheetml/2006/main" count="34" uniqueCount="31">
  <si>
    <t>社員番号</t>
    <rPh sb="0" eb="2">
      <t>シャイン</t>
    </rPh>
    <rPh sb="2" eb="4">
      <t>バンゴウ</t>
    </rPh>
    <phoneticPr fontId="1"/>
  </si>
  <si>
    <t>氏名</t>
    <rPh sb="0" eb="2">
      <t>シメイ</t>
    </rPh>
    <phoneticPr fontId="1"/>
  </si>
  <si>
    <t>所属</t>
    <rPh sb="0" eb="2">
      <t>ショゾク</t>
    </rPh>
    <phoneticPr fontId="1"/>
  </si>
  <si>
    <t>外出・出張属性</t>
    <rPh sb="0" eb="2">
      <t>ガイシュツ</t>
    </rPh>
    <rPh sb="3" eb="5">
      <t>シュッチョウ</t>
    </rPh>
    <rPh sb="5" eb="7">
      <t>ゾクセイ</t>
    </rPh>
    <phoneticPr fontId="1"/>
  </si>
  <si>
    <t>会社</t>
    <rPh sb="0" eb="2">
      <t>カイシャ</t>
    </rPh>
    <phoneticPr fontId="1"/>
  </si>
  <si>
    <t>外出日当加算精算書</t>
    <rPh sb="0" eb="2">
      <t>ガイシュツ</t>
    </rPh>
    <rPh sb="2" eb="4">
      <t>ニットウ</t>
    </rPh>
    <rPh sb="4" eb="6">
      <t>カサン</t>
    </rPh>
    <rPh sb="6" eb="8">
      <t>セイサン</t>
    </rPh>
    <rPh sb="8" eb="9">
      <t>ショ</t>
    </rPh>
    <phoneticPr fontId="1"/>
  </si>
  <si>
    <t>日</t>
    <rPh sb="0" eb="1">
      <t>ニチ</t>
    </rPh>
    <phoneticPr fontId="1"/>
  </si>
  <si>
    <t>当月所定日数</t>
    <rPh sb="0" eb="2">
      <t>トウゲツ</t>
    </rPh>
    <rPh sb="2" eb="4">
      <t>ショテイ</t>
    </rPh>
    <rPh sb="4" eb="6">
      <t>ニッスウ</t>
    </rPh>
    <phoneticPr fontId="1"/>
  </si>
  <si>
    <t>外出月/日</t>
    <rPh sb="0" eb="2">
      <t>ガイシュツ</t>
    </rPh>
    <rPh sb="2" eb="3">
      <t>ガツ</t>
    </rPh>
    <rPh sb="4" eb="5">
      <t>ヒ</t>
    </rPh>
    <phoneticPr fontId="1"/>
  </si>
  <si>
    <t>うち3時間以上の近郊外出日数</t>
    <rPh sb="3" eb="7">
      <t>ジカンイジョウ</t>
    </rPh>
    <rPh sb="8" eb="10">
      <t>キンコウ</t>
    </rPh>
    <rPh sb="10" eb="12">
      <t>ガイシュツ</t>
    </rPh>
    <rPh sb="12" eb="14">
      <t>ニッスウ</t>
    </rPh>
    <phoneticPr fontId="1"/>
  </si>
  <si>
    <t>実績外出日数</t>
    <rPh sb="0" eb="2">
      <t>ジッセキ</t>
    </rPh>
    <rPh sb="2" eb="4">
      <t>ガイシュツ</t>
    </rPh>
    <rPh sb="4" eb="6">
      <t>ニッスウ</t>
    </rPh>
    <phoneticPr fontId="1"/>
  </si>
  <si>
    <t>円</t>
    <rPh sb="0" eb="1">
      <t>エン</t>
    </rPh>
    <phoneticPr fontId="1"/>
  </si>
  <si>
    <t>集計表（自動計算）</t>
    <rPh sb="0" eb="2">
      <t>シュウケイ</t>
    </rPh>
    <rPh sb="2" eb="3">
      <t>ヒョウ</t>
    </rPh>
    <rPh sb="4" eb="6">
      <t>ジドウ</t>
    </rPh>
    <rPh sb="6" eb="8">
      <t>ケイサン</t>
    </rPh>
    <phoneticPr fontId="1"/>
  </si>
  <si>
    <t>所定</t>
    <rPh sb="0" eb="2">
      <t>ショテイ</t>
    </rPh>
    <phoneticPr fontId="1"/>
  </si>
  <si>
    <t>規程</t>
    <rPh sb="0" eb="2">
      <t>キテイ</t>
    </rPh>
    <phoneticPr fontId="1"/>
  </si>
  <si>
    <t>組織コード</t>
    <rPh sb="0" eb="2">
      <t>ソシキ</t>
    </rPh>
    <phoneticPr fontId="1"/>
  </si>
  <si>
    <t>当月外出明細</t>
    <rPh sb="0" eb="2">
      <t>トウゲツ</t>
    </rPh>
    <rPh sb="2" eb="4">
      <t>ガイシュツ</t>
    </rPh>
    <rPh sb="4" eb="6">
      <t>メイサイ</t>
    </rPh>
    <phoneticPr fontId="1"/>
  </si>
  <si>
    <t>入力担当</t>
    <rPh sb="0" eb="2">
      <t>ニュウリョク</t>
    </rPh>
    <rPh sb="2" eb="4">
      <t>タントウ</t>
    </rPh>
    <phoneticPr fontId="1"/>
  </si>
  <si>
    <t>入力承認</t>
    <rPh sb="0" eb="2">
      <t>ニュウリョク</t>
    </rPh>
    <rPh sb="2" eb="4">
      <t>ショウニン</t>
    </rPh>
    <phoneticPr fontId="1"/>
  </si>
  <si>
    <t>入力担当確認</t>
    <rPh sb="0" eb="2">
      <t>ニュウリョク</t>
    </rPh>
    <rPh sb="2" eb="4">
      <t>タントウ</t>
    </rPh>
    <rPh sb="4" eb="6">
      <t>カクニン</t>
    </rPh>
    <phoneticPr fontId="1"/>
  </si>
  <si>
    <t>所属長</t>
    <rPh sb="0" eb="3">
      <t>ショゾクチョウ</t>
    </rPh>
    <phoneticPr fontId="1"/>
  </si>
  <si>
    <t>日当加算額/70500：給料（課税）</t>
    <rPh sb="0" eb="2">
      <t>ニットウ</t>
    </rPh>
    <rPh sb="2" eb="4">
      <t>カサン</t>
    </rPh>
    <rPh sb="4" eb="5">
      <t>ガク</t>
    </rPh>
    <rPh sb="12" eb="14">
      <t>キュウリョウ</t>
    </rPh>
    <rPh sb="15" eb="17">
      <t>カゼイ</t>
    </rPh>
    <phoneticPr fontId="1"/>
  </si>
  <si>
    <t>ワークフロー案件番号
 近郊外出精算書/国内出張命令精算書</t>
    <rPh sb="6" eb="8">
      <t>アンケン</t>
    </rPh>
    <rPh sb="8" eb="10">
      <t>バンゴウ</t>
    </rPh>
    <rPh sb="20" eb="22">
      <t>コクナイ</t>
    </rPh>
    <rPh sb="22" eb="24">
      <t>シュッチョウ</t>
    </rPh>
    <rPh sb="24" eb="26">
      <t>メイレイ</t>
    </rPh>
    <rPh sb="26" eb="28">
      <t>セイサン</t>
    </rPh>
    <rPh sb="28" eb="29">
      <t>ショ</t>
    </rPh>
    <phoneticPr fontId="1"/>
  </si>
  <si>
    <t>月別所定日数</t>
    <rPh sb="0" eb="2">
      <t>ツキベツ</t>
    </rPh>
    <rPh sb="2" eb="4">
      <t>ショテイ</t>
    </rPh>
    <rPh sb="4" eb="6">
      <t>ニッスウ</t>
    </rPh>
    <phoneticPr fontId="1"/>
  </si>
  <si>
    <t>表示用</t>
    <rPh sb="0" eb="3">
      <t>ヒョウジヨウ</t>
    </rPh>
    <phoneticPr fontId="1"/>
  </si>
  <si>
    <t>所定日数</t>
    <rPh sb="0" eb="2">
      <t>ショテイ</t>
    </rPh>
    <rPh sb="2" eb="4">
      <t>ニッスウ</t>
    </rPh>
    <phoneticPr fontId="1"/>
  </si>
  <si>
    <t>日当加算規定日数</t>
    <rPh sb="0" eb="2">
      <t>ニットウ</t>
    </rPh>
    <rPh sb="2" eb="4">
      <t>カサン</t>
    </rPh>
    <rPh sb="4" eb="6">
      <t>キテイ</t>
    </rPh>
    <rPh sb="6" eb="8">
      <t>ニッスウ</t>
    </rPh>
    <phoneticPr fontId="1"/>
  </si>
  <si>
    <t>精算期間</t>
    <rPh sb="0" eb="2">
      <t>セイサン</t>
    </rPh>
    <rPh sb="2" eb="4">
      <t>キカン</t>
    </rPh>
    <phoneticPr fontId="1"/>
  </si>
  <si>
    <t>（※入力担当記入）</t>
    <rPh sb="2" eb="4">
      <t>ニュウリョク</t>
    </rPh>
    <rPh sb="4" eb="6">
      <t>タントウ</t>
    </rPh>
    <rPh sb="6" eb="8">
      <t>キニュウ</t>
    </rPh>
    <phoneticPr fontId="1"/>
  </si>
  <si>
    <t>伝票No.</t>
    <rPh sb="0" eb="2">
      <t>デンピョウ</t>
    </rPh>
    <phoneticPr fontId="1"/>
  </si>
  <si>
    <t>電話番号</t>
    <rPh sb="0" eb="2">
      <t>デンワ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</si>
</sst>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"/>
  </numFmts>
  <fonts count="14" x14ac:knownFonts="1">
    <font>
      <sz val="9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2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b/>
      <sz val="9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14"/>
      <color theme="1"/>
      <name val="ＭＳ Ｐ明朝"/>
      <family val="1"/>
      <charset val="128"/>
    </font>
    <font>
      <i/>
      <sz val="9"/>
      <color theme="1"/>
      <name val="ＭＳ Ｐゴシック"/>
      <family val="3"/>
      <charset val="128"/>
      <scheme val="minor"/>
    </font>
    <font>
      <i/>
      <sz val="9"/>
      <color theme="1"/>
      <name val="ＭＳ Ｐ明朝"/>
      <family val="1"/>
      <charset val="128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b/>
      <sz val="9"/>
      <color theme="1"/>
      <name val="ＭＳ Ｐ明朝"/>
      <family val="1"/>
      <charset val="128"/>
    </font>
    <font>
      <i/>
      <sz val="8"/>
      <color theme="1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4" xfId="0" applyFont="1" applyFill="1" applyBorder="1">
      <alignment vertical="center"/>
    </xf>
    <xf numFmtId="0" fontId="4" fillId="2" borderId="29" xfId="0" applyFont="1" applyFill="1" applyBorder="1">
      <alignment vertical="center"/>
    </xf>
    <xf numFmtId="0" fontId="4" fillId="2" borderId="30" xfId="0" applyFont="1" applyFill="1" applyBorder="1">
      <alignment vertical="center"/>
    </xf>
    <xf numFmtId="0" fontId="12" fillId="2" borderId="17" xfId="0" applyFont="1" applyFill="1" applyBorder="1">
      <alignment vertical="center"/>
    </xf>
    <xf numFmtId="0" fontId="8" fillId="3" borderId="0" xfId="0" applyFont="1" applyFill="1">
      <alignment vertical="center"/>
    </xf>
    <xf numFmtId="0" fontId="8" fillId="0" borderId="0" xfId="0" applyFont="1">
      <alignment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>
      <alignment vertical="center"/>
    </xf>
    <xf numFmtId="0" fontId="0" fillId="0" borderId="15" xfId="0" applyBorder="1" applyProtection="1">
      <alignment vertical="center"/>
      <protection locked="0"/>
    </xf>
    <xf numFmtId="0" fontId="0" fillId="0" borderId="16" xfId="0" applyBorder="1" applyProtection="1">
      <alignment vertical="center"/>
      <protection locked="0"/>
    </xf>
    <xf numFmtId="0" fontId="0" fillId="0" borderId="20" xfId="0" applyBorder="1" applyProtection="1">
      <alignment vertical="center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6" fontId="0" fillId="0" borderId="18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4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56" fontId="0" fillId="0" borderId="11" xfId="0" applyNumberForma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2" xfId="0" applyBorder="1" applyProtection="1">
      <alignment vertical="center"/>
      <protection locked="0"/>
    </xf>
    <xf numFmtId="0" fontId="7" fillId="0" borderId="0" xfId="0" applyFont="1" applyAlignment="1">
      <alignment vertical="top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6" xfId="0" applyBorder="1" applyProtection="1">
      <alignment vertical="center"/>
      <protection locked="0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9" xfId="0" applyFill="1" applyBorder="1">
      <alignment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20" xfId="0" applyBorder="1" applyAlignment="1" applyProtection="1">
      <alignment horizontal="left" vertical="center"/>
      <protection locked="0"/>
    </xf>
    <xf numFmtId="0" fontId="9" fillId="2" borderId="6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76" fontId="8" fillId="0" borderId="0" xfId="0" applyNumberFormat="1" applyFont="1">
      <alignment vertical="center"/>
    </xf>
    <xf numFmtId="0" fontId="2" fillId="0" borderId="15" xfId="0" applyFont="1" applyBorder="1" applyProtection="1">
      <alignment vertical="center"/>
      <protection locked="0"/>
    </xf>
    <xf numFmtId="0" fontId="2" fillId="0" borderId="16" xfId="0" applyFont="1" applyBorder="1" applyProtection="1">
      <alignment vertical="center"/>
      <protection locked="0"/>
    </xf>
    <xf numFmtId="0" fontId="2" fillId="0" borderId="17" xfId="0" applyFont="1" applyBorder="1" applyProtection="1">
      <alignment vertical="center"/>
      <protection locked="0"/>
    </xf>
    <xf numFmtId="0" fontId="4" fillId="2" borderId="22" xfId="0" applyFont="1" applyFill="1" applyBorder="1">
      <alignment vertical="center"/>
    </xf>
    <xf numFmtId="0" fontId="4" fillId="2" borderId="23" xfId="0" applyFont="1" applyFill="1" applyBorder="1">
      <alignment vertical="center"/>
    </xf>
    <xf numFmtId="176" fontId="8" fillId="3" borderId="0" xfId="0" applyNumberFormat="1" applyFont="1" applyFill="1">
      <alignment vertical="center"/>
    </xf>
    <xf numFmtId="38" fontId="11" fillId="2" borderId="15" xfId="1" applyFont="1" applyFill="1" applyBorder="1" applyProtection="1">
      <alignment vertical="center"/>
    </xf>
    <xf numFmtId="38" fontId="11" fillId="2" borderId="16" xfId="1" applyFont="1" applyFill="1" applyBorder="1" applyProtection="1">
      <alignment vertical="center"/>
    </xf>
    <xf numFmtId="0" fontId="4" fillId="2" borderId="11" xfId="0" applyFont="1" applyFill="1" applyBorder="1">
      <alignment vertical="center"/>
    </xf>
    <xf numFmtId="0" fontId="4" fillId="2" borderId="12" xfId="0" applyFont="1" applyFill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12" fillId="0" borderId="21" xfId="0" applyFont="1" applyBorder="1">
      <alignment vertical="center"/>
    </xf>
    <xf numFmtId="0" fontId="4" fillId="2" borderId="18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0" fillId="2" borderId="27" xfId="0" applyFont="1" applyFill="1" applyBorder="1">
      <alignment vertical="center"/>
    </xf>
    <xf numFmtId="0" fontId="10" fillId="2" borderId="28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4" xfId="0" applyFont="1" applyFill="1" applyBorder="1">
      <alignment vertical="center"/>
    </xf>
    <xf numFmtId="0" fontId="0" fillId="0" borderId="7" xfId="0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13" fillId="0" borderId="0" xfId="0" applyFont="1" applyAlignment="1">
      <alignment horizontal="left" vertical="center"/>
    </xf>
    <xf numFmtId="0" fontId="9" fillId="0" borderId="28" xfId="0" applyFont="1" applyBorder="1">
      <alignment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10" fillId="2" borderId="7" xfId="0" applyFont="1" applyFill="1" applyBorder="1">
      <alignment vertical="center"/>
    </xf>
    <xf numFmtId="0" fontId="10" fillId="2" borderId="8" xfId="0" applyFont="1" applyFill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4"/>
  <sheetViews>
    <sheetView showGridLines="0" tabSelected="1" zoomScale="110" zoomScaleNormal="110" workbookViewId="0">
      <selection activeCell="F9" sqref="F9:I9"/>
    </sheetView>
  </sheetViews>
  <sheetFormatPr defaultColWidth="5.875" defaultRowHeight="18" customHeight="1" x14ac:dyDescent="0.15"/>
  <cols>
    <col min="2" max="2" width="5.875" style="6"/>
  </cols>
  <sheetData>
    <row r="1" spans="1:22" ht="16.2" x14ac:dyDescent="0.15">
      <c r="A1" s="36" t="s">
        <v>5</v>
      </c>
      <c r="B1" s="36"/>
      <c r="C1" s="36"/>
      <c r="D1" s="36"/>
      <c r="E1" s="36"/>
      <c r="F1" s="36"/>
      <c r="G1" s="36"/>
      <c r="H1" s="36" t="str">
        <f>IF(C4="","","["&amp;C4&amp;"]")</f>
        <v/>
      </c>
      <c r="I1" s="36"/>
      <c r="J1" s="36"/>
      <c r="K1" s="36"/>
      <c r="L1" s="36"/>
      <c r="P1" s="1"/>
      <c r="Q1" s="2"/>
      <c r="R1" s="75" t="s">
        <v>28</v>
      </c>
      <c r="S1" s="75"/>
      <c r="T1" s="75"/>
      <c r="U1" s="75"/>
      <c r="V1" s="75"/>
    </row>
    <row r="2" spans="1:22" ht="17.25" customHeight="1" x14ac:dyDescent="0.1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R2" s="76" t="s">
        <v>29</v>
      </c>
      <c r="S2" s="76"/>
      <c r="T2" s="76"/>
      <c r="U2" s="76"/>
      <c r="V2" s="76"/>
    </row>
    <row r="3" spans="1:22" s="3" customFormat="1" ht="17.25" customHeight="1" x14ac:dyDescent="0.15">
      <c r="A3" s="4"/>
      <c r="B3" s="5"/>
    </row>
    <row r="4" spans="1:22" s="3" customFormat="1" ht="17.25" customHeight="1" x14ac:dyDescent="0.15">
      <c r="A4" s="30" t="s">
        <v>4</v>
      </c>
      <c r="B4" s="31"/>
      <c r="C4" s="40"/>
      <c r="D4" s="40"/>
      <c r="E4" s="41" t="s">
        <v>0</v>
      </c>
      <c r="F4" s="31"/>
      <c r="G4" s="40"/>
      <c r="H4" s="40"/>
      <c r="I4" s="31" t="s">
        <v>1</v>
      </c>
      <c r="J4" s="31"/>
      <c r="K4" s="72"/>
      <c r="L4" s="73"/>
      <c r="M4" s="73"/>
      <c r="N4" s="73"/>
      <c r="O4" s="74"/>
      <c r="P4" s="42" t="s">
        <v>30</v>
      </c>
      <c r="Q4" s="41"/>
      <c r="R4" s="37"/>
      <c r="S4" s="38"/>
      <c r="T4" s="38"/>
      <c r="U4" s="38"/>
      <c r="V4" s="39"/>
    </row>
    <row r="5" spans="1:22" s="3" customFormat="1" ht="17.25" customHeight="1" x14ac:dyDescent="0.15">
      <c r="A5" s="45" t="s">
        <v>15</v>
      </c>
      <c r="B5" s="46"/>
      <c r="C5" s="47"/>
      <c r="D5" s="48"/>
      <c r="E5" s="46" t="s">
        <v>2</v>
      </c>
      <c r="F5" s="46"/>
      <c r="G5" s="15"/>
      <c r="H5" s="16"/>
      <c r="I5" s="16"/>
      <c r="J5" s="16"/>
      <c r="K5" s="16"/>
      <c r="L5" s="16"/>
      <c r="M5" s="16"/>
      <c r="N5" s="17"/>
      <c r="O5" s="77" t="s">
        <v>27</v>
      </c>
      <c r="P5" s="78"/>
      <c r="Q5" s="52"/>
      <c r="R5" s="53"/>
      <c r="S5" s="53"/>
      <c r="T5" s="53"/>
      <c r="U5" s="53"/>
      <c r="V5" s="54"/>
    </row>
    <row r="6" spans="1:22" s="3" customFormat="1" ht="17.25" customHeight="1" x14ac:dyDescent="0.15">
      <c r="B6" s="5"/>
    </row>
    <row r="7" spans="1:22" s="3" customFormat="1" ht="17.25" customHeight="1" x14ac:dyDescent="0.15">
      <c r="B7" s="5"/>
      <c r="D7" s="65" t="s">
        <v>16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</row>
    <row r="8" spans="1:22" ht="27.75" customHeight="1" x14ac:dyDescent="0.15">
      <c r="B8"/>
      <c r="D8" s="30" t="s">
        <v>8</v>
      </c>
      <c r="E8" s="31"/>
      <c r="F8" s="31" t="s">
        <v>3</v>
      </c>
      <c r="G8" s="31"/>
      <c r="H8" s="31"/>
      <c r="I8" s="31"/>
      <c r="J8" s="32" t="s">
        <v>22</v>
      </c>
      <c r="K8" s="31"/>
      <c r="L8" s="31"/>
      <c r="M8" s="31"/>
      <c r="N8" s="31"/>
      <c r="O8" s="31"/>
      <c r="P8" s="31"/>
      <c r="Q8" s="49" t="s">
        <v>19</v>
      </c>
      <c r="R8" s="49"/>
      <c r="S8" s="50"/>
    </row>
    <row r="9" spans="1:22" ht="17.25" customHeight="1" x14ac:dyDescent="0.15">
      <c r="B9"/>
      <c r="D9" s="24"/>
      <c r="E9" s="25"/>
      <c r="F9" s="29"/>
      <c r="G9" s="29"/>
      <c r="H9" s="29"/>
      <c r="I9" s="29"/>
      <c r="J9" s="26"/>
      <c r="K9" s="27"/>
      <c r="L9" s="27"/>
      <c r="M9" s="27"/>
      <c r="N9" s="27"/>
      <c r="O9" s="27"/>
      <c r="P9" s="28"/>
      <c r="Q9" s="43"/>
      <c r="R9" s="43"/>
      <c r="S9" s="44"/>
    </row>
    <row r="10" spans="1:22" ht="17.25" customHeight="1" x14ac:dyDescent="0.15">
      <c r="B10"/>
      <c r="D10" s="24"/>
      <c r="E10" s="25"/>
      <c r="F10" s="29"/>
      <c r="G10" s="29"/>
      <c r="H10" s="29"/>
      <c r="I10" s="29"/>
      <c r="J10" s="26"/>
      <c r="K10" s="27"/>
      <c r="L10" s="27"/>
      <c r="M10" s="27"/>
      <c r="N10" s="27"/>
      <c r="O10" s="27"/>
      <c r="P10" s="28"/>
      <c r="Q10" s="43"/>
      <c r="R10" s="43"/>
      <c r="S10" s="44"/>
    </row>
    <row r="11" spans="1:22" ht="17.25" customHeight="1" x14ac:dyDescent="0.15">
      <c r="B11"/>
      <c r="D11" s="24"/>
      <c r="E11" s="25"/>
      <c r="F11" s="29"/>
      <c r="G11" s="29"/>
      <c r="H11" s="29"/>
      <c r="I11" s="29"/>
      <c r="J11" s="26"/>
      <c r="K11" s="27"/>
      <c r="L11" s="27"/>
      <c r="M11" s="27"/>
      <c r="N11" s="27"/>
      <c r="O11" s="27"/>
      <c r="P11" s="28"/>
      <c r="Q11" s="43"/>
      <c r="R11" s="43"/>
      <c r="S11" s="44"/>
    </row>
    <row r="12" spans="1:22" ht="17.25" customHeight="1" x14ac:dyDescent="0.15">
      <c r="B12"/>
      <c r="D12" s="24"/>
      <c r="E12" s="25"/>
      <c r="F12" s="29"/>
      <c r="G12" s="29"/>
      <c r="H12" s="29"/>
      <c r="I12" s="29"/>
      <c r="J12" s="26"/>
      <c r="K12" s="27"/>
      <c r="L12" s="27"/>
      <c r="M12" s="27"/>
      <c r="N12" s="27"/>
      <c r="O12" s="27"/>
      <c r="P12" s="28"/>
      <c r="Q12" s="43"/>
      <c r="R12" s="43"/>
      <c r="S12" s="44"/>
    </row>
    <row r="13" spans="1:22" ht="17.25" customHeight="1" x14ac:dyDescent="0.15">
      <c r="B13"/>
      <c r="D13" s="24"/>
      <c r="E13" s="25"/>
      <c r="F13" s="29"/>
      <c r="G13" s="29"/>
      <c r="H13" s="29"/>
      <c r="I13" s="29"/>
      <c r="J13" s="26"/>
      <c r="K13" s="27"/>
      <c r="L13" s="27"/>
      <c r="M13" s="27"/>
      <c r="N13" s="27"/>
      <c r="O13" s="27"/>
      <c r="P13" s="28"/>
      <c r="Q13" s="43"/>
      <c r="R13" s="43"/>
      <c r="S13" s="44"/>
    </row>
    <row r="14" spans="1:22" ht="17.25" customHeight="1" x14ac:dyDescent="0.15">
      <c r="B14"/>
      <c r="D14" s="24"/>
      <c r="E14" s="25"/>
      <c r="F14" s="29"/>
      <c r="G14" s="29"/>
      <c r="H14" s="29"/>
      <c r="I14" s="29"/>
      <c r="J14" s="26"/>
      <c r="K14" s="27"/>
      <c r="L14" s="27"/>
      <c r="M14" s="27"/>
      <c r="N14" s="27"/>
      <c r="O14" s="27"/>
      <c r="P14" s="28"/>
      <c r="Q14" s="43"/>
      <c r="R14" s="43"/>
      <c r="S14" s="44"/>
    </row>
    <row r="15" spans="1:22" ht="17.25" customHeight="1" x14ac:dyDescent="0.15">
      <c r="B15"/>
      <c r="D15" s="24"/>
      <c r="E15" s="25"/>
      <c r="F15" s="29"/>
      <c r="G15" s="29"/>
      <c r="H15" s="29"/>
      <c r="I15" s="29"/>
      <c r="J15" s="26"/>
      <c r="K15" s="27"/>
      <c r="L15" s="27"/>
      <c r="M15" s="27"/>
      <c r="N15" s="27"/>
      <c r="O15" s="27"/>
      <c r="P15" s="28"/>
      <c r="Q15" s="43"/>
      <c r="R15" s="43"/>
      <c r="S15" s="44"/>
    </row>
    <row r="16" spans="1:22" ht="17.25" customHeight="1" x14ac:dyDescent="0.15">
      <c r="B16"/>
      <c r="D16" s="24"/>
      <c r="E16" s="25"/>
      <c r="F16" s="29"/>
      <c r="G16" s="29"/>
      <c r="H16" s="29"/>
      <c r="I16" s="29"/>
      <c r="J16" s="26"/>
      <c r="K16" s="27"/>
      <c r="L16" s="27"/>
      <c r="M16" s="27"/>
      <c r="N16" s="27"/>
      <c r="O16" s="27"/>
      <c r="P16" s="28"/>
      <c r="Q16" s="43"/>
      <c r="R16" s="43"/>
      <c r="S16" s="44"/>
    </row>
    <row r="17" spans="2:19" ht="17.25" customHeight="1" x14ac:dyDescent="0.15">
      <c r="B17"/>
      <c r="D17" s="24"/>
      <c r="E17" s="25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43"/>
      <c r="R17" s="43"/>
      <c r="S17" s="44"/>
    </row>
    <row r="18" spans="2:19" ht="17.25" customHeight="1" x14ac:dyDescent="0.15">
      <c r="B18"/>
      <c r="D18" s="24"/>
      <c r="E18" s="25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43"/>
      <c r="R18" s="43"/>
      <c r="S18" s="44"/>
    </row>
    <row r="19" spans="2:19" ht="17.25" customHeight="1" x14ac:dyDescent="0.15">
      <c r="B19"/>
      <c r="D19" s="24"/>
      <c r="E19" s="25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43"/>
      <c r="R19" s="43"/>
      <c r="S19" s="44"/>
    </row>
    <row r="20" spans="2:19" ht="17.25" customHeight="1" x14ac:dyDescent="0.15">
      <c r="B20"/>
      <c r="D20" s="24"/>
      <c r="E20" s="25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43"/>
      <c r="R20" s="43"/>
      <c r="S20" s="44"/>
    </row>
    <row r="21" spans="2:19" ht="17.25" customHeight="1" x14ac:dyDescent="0.15">
      <c r="B21"/>
      <c r="D21" s="24"/>
      <c r="E21" s="25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43"/>
      <c r="R21" s="43"/>
      <c r="S21" s="44"/>
    </row>
    <row r="22" spans="2:19" ht="17.25" customHeight="1" x14ac:dyDescent="0.15">
      <c r="B22"/>
      <c r="D22" s="24"/>
      <c r="E22" s="25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43"/>
      <c r="R22" s="43"/>
      <c r="S22" s="44"/>
    </row>
    <row r="23" spans="2:19" ht="17.25" customHeight="1" x14ac:dyDescent="0.15">
      <c r="B23"/>
      <c r="D23" s="24"/>
      <c r="E23" s="25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43"/>
      <c r="R23" s="43"/>
      <c r="S23" s="44"/>
    </row>
    <row r="24" spans="2:19" ht="17.25" customHeight="1" x14ac:dyDescent="0.15">
      <c r="B24"/>
      <c r="D24" s="24"/>
      <c r="E24" s="25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43"/>
      <c r="R24" s="43"/>
      <c r="S24" s="44"/>
    </row>
    <row r="25" spans="2:19" ht="17.25" customHeight="1" x14ac:dyDescent="0.15">
      <c r="B25"/>
      <c r="D25" s="24"/>
      <c r="E25" s="25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43"/>
      <c r="R25" s="43"/>
      <c r="S25" s="44"/>
    </row>
    <row r="26" spans="2:19" ht="17.25" customHeight="1" x14ac:dyDescent="0.15">
      <c r="B26"/>
      <c r="D26" s="24"/>
      <c r="E26" s="25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43"/>
      <c r="R26" s="43"/>
      <c r="S26" s="44"/>
    </row>
    <row r="27" spans="2:19" ht="17.25" customHeight="1" x14ac:dyDescent="0.15">
      <c r="B27"/>
      <c r="D27" s="24"/>
      <c r="E27" s="25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43"/>
      <c r="R27" s="43"/>
      <c r="S27" s="44"/>
    </row>
    <row r="28" spans="2:19" ht="17.25" customHeight="1" x14ac:dyDescent="0.15">
      <c r="B28"/>
      <c r="D28" s="24"/>
      <c r="E28" s="25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43"/>
      <c r="R28" s="43"/>
      <c r="S28" s="44"/>
    </row>
    <row r="29" spans="2:19" ht="17.25" customHeight="1" x14ac:dyDescent="0.15">
      <c r="B29"/>
      <c r="D29" s="24"/>
      <c r="E29" s="25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43"/>
      <c r="R29" s="43"/>
      <c r="S29" s="44"/>
    </row>
    <row r="30" spans="2:19" ht="17.25" customHeight="1" x14ac:dyDescent="0.15">
      <c r="B30"/>
      <c r="D30" s="24"/>
      <c r="E30" s="25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43"/>
      <c r="R30" s="43"/>
      <c r="S30" s="44"/>
    </row>
    <row r="31" spans="2:19" ht="17.25" customHeight="1" x14ac:dyDescent="0.15">
      <c r="B31"/>
      <c r="D31" s="24"/>
      <c r="E31" s="25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43"/>
      <c r="R31" s="43"/>
      <c r="S31" s="44"/>
    </row>
    <row r="32" spans="2:19" ht="17.25" customHeight="1" x14ac:dyDescent="0.15">
      <c r="B32"/>
      <c r="D32" s="24"/>
      <c r="E32" s="25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43"/>
      <c r="R32" s="43"/>
      <c r="S32" s="44"/>
    </row>
    <row r="33" spans="2:19" ht="17.25" customHeight="1" x14ac:dyDescent="0.15">
      <c r="B33"/>
      <c r="D33" s="24"/>
      <c r="E33" s="25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43"/>
      <c r="R33" s="43"/>
      <c r="S33" s="44"/>
    </row>
    <row r="34" spans="2:19" ht="17.25" customHeight="1" x14ac:dyDescent="0.15">
      <c r="B34"/>
      <c r="D34" s="24"/>
      <c r="E34" s="25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43"/>
      <c r="R34" s="43"/>
      <c r="S34" s="44"/>
    </row>
    <row r="35" spans="2:19" ht="17.25" customHeight="1" x14ac:dyDescent="0.15">
      <c r="B35"/>
      <c r="D35" s="24"/>
      <c r="E35" s="25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43"/>
      <c r="R35" s="43"/>
      <c r="S35" s="44"/>
    </row>
    <row r="36" spans="2:19" ht="17.25" customHeight="1" x14ac:dyDescent="0.15">
      <c r="B36"/>
      <c r="D36" s="24"/>
      <c r="E36" s="25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43"/>
      <c r="R36" s="43"/>
      <c r="S36" s="44"/>
    </row>
    <row r="37" spans="2:19" ht="17.25" customHeight="1" x14ac:dyDescent="0.15">
      <c r="B37"/>
      <c r="D37" s="24"/>
      <c r="E37" s="25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43"/>
      <c r="R37" s="43"/>
      <c r="S37" s="44"/>
    </row>
    <row r="38" spans="2:19" ht="17.25" customHeight="1" x14ac:dyDescent="0.15">
      <c r="B38"/>
      <c r="D38" s="33"/>
      <c r="E38" s="34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79"/>
      <c r="R38" s="79"/>
      <c r="S38" s="80"/>
    </row>
    <row r="39" spans="2:19" ht="17.25" customHeight="1" x14ac:dyDescent="0.15"/>
    <row r="40" spans="2:19" ht="17.25" customHeight="1" x14ac:dyDescent="0.15"/>
    <row r="41" spans="2:19" ht="17.25" customHeight="1" x14ac:dyDescent="0.15">
      <c r="H41" s="62" t="s">
        <v>12</v>
      </c>
      <c r="I41" s="63"/>
      <c r="J41" s="63"/>
      <c r="K41" s="63"/>
      <c r="L41" s="63"/>
      <c r="M41" s="63"/>
      <c r="N41" s="63"/>
      <c r="O41" s="64"/>
    </row>
    <row r="42" spans="2:19" ht="17.25" customHeight="1" x14ac:dyDescent="0.15">
      <c r="H42" s="55" t="s">
        <v>7</v>
      </c>
      <c r="I42" s="56"/>
      <c r="J42" s="56"/>
      <c r="K42" s="56"/>
      <c r="L42" s="56"/>
      <c r="M42" s="81">
        <f>IFERROR(VLOOKUP($Q$5,$G$57:$H$70,2,FALSE),0)</f>
        <v>0</v>
      </c>
      <c r="N42" s="82"/>
      <c r="O42" s="7" t="s">
        <v>6</v>
      </c>
    </row>
    <row r="43" spans="2:19" ht="17.25" customHeight="1" x14ac:dyDescent="0.15">
      <c r="H43" s="55" t="s">
        <v>26</v>
      </c>
      <c r="I43" s="56"/>
      <c r="J43" s="56"/>
      <c r="K43" s="56"/>
      <c r="L43" s="56"/>
      <c r="M43" s="68">
        <f>IFERROR(VLOOKUP($M$42,$A$57:$B$74,2,FALSE),0)</f>
        <v>0</v>
      </c>
      <c r="N43" s="69"/>
      <c r="O43" s="8" t="s">
        <v>6</v>
      </c>
    </row>
    <row r="44" spans="2:19" ht="17.25" customHeight="1" x14ac:dyDescent="0.15">
      <c r="H44" s="66" t="s">
        <v>10</v>
      </c>
      <c r="I44" s="67"/>
      <c r="J44" s="67"/>
      <c r="K44" s="67"/>
      <c r="L44" s="67"/>
      <c r="M44" s="70">
        <f>COUNTA(J9:P38)</f>
        <v>0</v>
      </c>
      <c r="N44" s="71"/>
      <c r="O44" s="9" t="s">
        <v>6</v>
      </c>
    </row>
    <row r="45" spans="2:19" ht="17.25" customHeight="1" x14ac:dyDescent="0.15">
      <c r="H45" s="66" t="s">
        <v>9</v>
      </c>
      <c r="I45" s="67"/>
      <c r="J45" s="67"/>
      <c r="K45" s="67"/>
      <c r="L45" s="67"/>
      <c r="M45" s="70">
        <f>COUNTIF($F$9:$I$38,"3時間以上の近郊外出")</f>
        <v>0</v>
      </c>
      <c r="N45" s="71"/>
      <c r="O45" s="9" t="s">
        <v>6</v>
      </c>
    </row>
    <row r="46" spans="2:19" ht="17.25" customHeight="1" x14ac:dyDescent="0.15">
      <c r="H46" s="60" t="s">
        <v>21</v>
      </c>
      <c r="I46" s="61"/>
      <c r="J46" s="61"/>
      <c r="K46" s="61"/>
      <c r="L46" s="61"/>
      <c r="M46" s="58">
        <f>IF(M43=0,0,IF(M44&gt;=M43,M45*400,0))</f>
        <v>0</v>
      </c>
      <c r="N46" s="59"/>
      <c r="O46" s="10" t="s">
        <v>11</v>
      </c>
    </row>
    <row r="47" spans="2:19" ht="18" customHeight="1" x14ac:dyDescent="0.15">
      <c r="B47"/>
    </row>
    <row r="48" spans="2:19" ht="18" customHeight="1" x14ac:dyDescent="0.15">
      <c r="B48"/>
    </row>
    <row r="49" spans="1:22" ht="18" customHeight="1" x14ac:dyDescent="0.15">
      <c r="B49"/>
      <c r="M49" s="18" t="s">
        <v>18</v>
      </c>
      <c r="N49" s="19"/>
      <c r="O49" s="20"/>
      <c r="P49" s="18" t="s">
        <v>17</v>
      </c>
      <c r="Q49" s="19"/>
      <c r="R49" s="20"/>
      <c r="T49" s="18" t="s">
        <v>20</v>
      </c>
      <c r="U49" s="19"/>
      <c r="V49" s="20"/>
    </row>
    <row r="50" spans="1:22" ht="18" customHeight="1" x14ac:dyDescent="0.15">
      <c r="B50"/>
      <c r="M50" s="21"/>
      <c r="N50" s="22"/>
      <c r="O50" s="23"/>
      <c r="P50" s="21"/>
      <c r="Q50" s="22"/>
      <c r="R50" s="23"/>
      <c r="T50" s="21"/>
      <c r="U50" s="22"/>
      <c r="V50" s="23"/>
    </row>
    <row r="51" spans="1:22" ht="18" customHeight="1" x14ac:dyDescent="0.15">
      <c r="B51"/>
      <c r="M51" s="21"/>
      <c r="N51" s="22"/>
      <c r="O51" s="23"/>
      <c r="P51" s="21"/>
      <c r="Q51" s="22"/>
      <c r="R51" s="23"/>
      <c r="T51" s="21"/>
      <c r="U51" s="22"/>
      <c r="V51" s="23"/>
    </row>
    <row r="52" spans="1:22" ht="18" customHeight="1" x14ac:dyDescent="0.15">
      <c r="B52"/>
      <c r="M52" s="21"/>
      <c r="N52" s="22"/>
      <c r="O52" s="23"/>
      <c r="P52" s="21"/>
      <c r="Q52" s="22"/>
      <c r="R52" s="23"/>
      <c r="T52" s="21"/>
      <c r="U52" s="22"/>
      <c r="V52" s="23"/>
    </row>
    <row r="53" spans="1:22" ht="18" customHeight="1" x14ac:dyDescent="0.15">
      <c r="B53"/>
      <c r="M53" s="21"/>
      <c r="N53" s="22"/>
      <c r="O53" s="23"/>
      <c r="P53" s="21"/>
      <c r="Q53" s="22"/>
      <c r="R53" s="23"/>
      <c r="T53" s="21"/>
      <c r="U53" s="22"/>
      <c r="V53" s="23"/>
    </row>
    <row r="56" spans="1:22" ht="18" customHeight="1" x14ac:dyDescent="0.15">
      <c r="A56" s="13" t="s">
        <v>13</v>
      </c>
      <c r="B56" s="13" t="s">
        <v>14</v>
      </c>
      <c r="E56" s="11" t="s">
        <v>23</v>
      </c>
      <c r="F56" s="11"/>
      <c r="G56" s="11" t="s">
        <v>24</v>
      </c>
      <c r="H56" s="11" t="s">
        <v>25</v>
      </c>
    </row>
    <row r="57" spans="1:22" ht="18" customHeight="1" x14ac:dyDescent="0.15">
      <c r="A57" s="14">
        <v>13</v>
      </c>
      <c r="B57" s="14">
        <v>10</v>
      </c>
      <c r="E57" s="57">
        <v>46082</v>
      </c>
      <c r="F57" s="57"/>
      <c r="G57" s="11" t="str">
        <f>TEXT(DATE(YEAR(E57),MONTH(E57),16),"yyyy年m月d日")&amp;"～"&amp;TEXT(DATE(YEAR(E57),MONTH(E57)+1,15),"yyyy年m月d日")</f>
        <v>2026年3月16日～2026年4月15日</v>
      </c>
      <c r="H57" s="11">
        <v>22</v>
      </c>
      <c r="I57" s="12" t="str">
        <f>G57</f>
        <v>2026年3月16日～2026年4月15日</v>
      </c>
    </row>
    <row r="58" spans="1:22" ht="18" customHeight="1" x14ac:dyDescent="0.15">
      <c r="A58" s="14">
        <v>14</v>
      </c>
      <c r="B58" s="14">
        <v>10</v>
      </c>
      <c r="E58" s="57">
        <v>46113</v>
      </c>
      <c r="F58" s="57"/>
      <c r="G58" s="11" t="str">
        <f t="shared" ref="G58:G68" si="0">TEXT(DATE(YEAR(E58),MONTH(E58),16),"yyyy年m月d日")&amp;"～"&amp;TEXT(DATE(YEAR(E58),MONTH(E58)+1,15),"yyyy年m月d日")</f>
        <v>2026年4月16日～2026年5月15日</v>
      </c>
      <c r="H58" s="11">
        <v>16</v>
      </c>
      <c r="I58" s="12" t="str">
        <f t="shared" ref="I58:I68" si="1">G58</f>
        <v>2026年4月16日～2026年5月15日</v>
      </c>
    </row>
    <row r="59" spans="1:22" ht="18" customHeight="1" x14ac:dyDescent="0.15">
      <c r="A59" s="14">
        <v>15</v>
      </c>
      <c r="B59" s="14">
        <v>10</v>
      </c>
      <c r="E59" s="57">
        <v>46143</v>
      </c>
      <c r="F59" s="57"/>
      <c r="G59" s="11" t="str">
        <f t="shared" si="0"/>
        <v>2026年5月16日～2026年6月15日</v>
      </c>
      <c r="H59" s="11">
        <v>21</v>
      </c>
      <c r="I59" s="12" t="str">
        <f t="shared" si="1"/>
        <v>2026年5月16日～2026年6月15日</v>
      </c>
    </row>
    <row r="60" spans="1:22" ht="18" customHeight="1" x14ac:dyDescent="0.15">
      <c r="A60" s="14">
        <v>16</v>
      </c>
      <c r="B60" s="14">
        <v>10</v>
      </c>
      <c r="E60" s="57">
        <v>46174</v>
      </c>
      <c r="F60" s="57"/>
      <c r="G60" s="11" t="str">
        <f t="shared" si="0"/>
        <v>2026年6月16日～2026年7月15日</v>
      </c>
      <c r="H60" s="11">
        <v>22</v>
      </c>
      <c r="I60" s="12" t="str">
        <f t="shared" si="1"/>
        <v>2026年6月16日～2026年7月15日</v>
      </c>
    </row>
    <row r="61" spans="1:22" ht="18" customHeight="1" x14ac:dyDescent="0.15">
      <c r="A61" s="14">
        <v>17</v>
      </c>
      <c r="B61" s="14">
        <v>10</v>
      </c>
      <c r="E61" s="57">
        <v>46204</v>
      </c>
      <c r="F61" s="57"/>
      <c r="G61" s="11" t="str">
        <f t="shared" si="0"/>
        <v>2026年7月16日～2026年8月15日</v>
      </c>
      <c r="H61" s="11">
        <v>19</v>
      </c>
      <c r="I61" s="12" t="str">
        <f t="shared" si="1"/>
        <v>2026年7月16日～2026年8月15日</v>
      </c>
    </row>
    <row r="62" spans="1:22" ht="18" customHeight="1" x14ac:dyDescent="0.15">
      <c r="A62" s="14">
        <v>18</v>
      </c>
      <c r="B62" s="14">
        <v>11</v>
      </c>
      <c r="E62" s="57">
        <v>46235</v>
      </c>
      <c r="F62" s="57"/>
      <c r="G62" s="11" t="str">
        <f t="shared" si="0"/>
        <v>2026年8月16日～2026年9月15日</v>
      </c>
      <c r="H62" s="11">
        <v>22</v>
      </c>
      <c r="I62" s="12" t="str">
        <f t="shared" si="1"/>
        <v>2026年8月16日～2026年9月15日</v>
      </c>
    </row>
    <row r="63" spans="1:22" ht="18" customHeight="1" x14ac:dyDescent="0.15">
      <c r="A63" s="14">
        <v>19</v>
      </c>
      <c r="B63" s="14">
        <v>12</v>
      </c>
      <c r="E63" s="57">
        <v>46266</v>
      </c>
      <c r="F63" s="57"/>
      <c r="G63" s="11" t="str">
        <f t="shared" si="0"/>
        <v>2026年9月16日～2026年10月15日</v>
      </c>
      <c r="H63" s="11">
        <v>18</v>
      </c>
      <c r="I63" s="12" t="str">
        <f t="shared" si="1"/>
        <v>2026年9月16日～2026年10月15日</v>
      </c>
    </row>
    <row r="64" spans="1:22" ht="18" customHeight="1" x14ac:dyDescent="0.15">
      <c r="A64" s="14">
        <v>20</v>
      </c>
      <c r="B64" s="14">
        <v>13</v>
      </c>
      <c r="E64" s="57">
        <v>46296</v>
      </c>
      <c r="F64" s="57"/>
      <c r="G64" s="11" t="str">
        <f t="shared" si="0"/>
        <v>2026年10月16日～2026年11月15日</v>
      </c>
      <c r="H64" s="11">
        <v>20</v>
      </c>
      <c r="I64" s="12" t="str">
        <f t="shared" si="1"/>
        <v>2026年10月16日～2026年11月15日</v>
      </c>
    </row>
    <row r="65" spans="1:9" ht="18" customHeight="1" x14ac:dyDescent="0.15">
      <c r="A65" s="14">
        <v>21</v>
      </c>
      <c r="B65" s="14">
        <v>14</v>
      </c>
      <c r="E65" s="57">
        <v>46327</v>
      </c>
      <c r="F65" s="57"/>
      <c r="G65" s="11" t="str">
        <f t="shared" si="0"/>
        <v>2026年11月16日～2026年12月15日</v>
      </c>
      <c r="H65" s="11">
        <v>22</v>
      </c>
      <c r="I65" s="12" t="str">
        <f t="shared" si="1"/>
        <v>2026年11月16日～2026年12月15日</v>
      </c>
    </row>
    <row r="66" spans="1:9" ht="18" customHeight="1" x14ac:dyDescent="0.15">
      <c r="A66" s="14">
        <v>22</v>
      </c>
      <c r="B66" s="14">
        <v>15</v>
      </c>
      <c r="E66" s="57">
        <v>46357</v>
      </c>
      <c r="F66" s="57"/>
      <c r="G66" s="11" t="str">
        <f t="shared" si="0"/>
        <v>2026年12月16日～2027年1月15日</v>
      </c>
      <c r="H66" s="11">
        <v>18</v>
      </c>
      <c r="I66" s="12" t="str">
        <f t="shared" si="1"/>
        <v>2026年12月16日～2027年1月15日</v>
      </c>
    </row>
    <row r="67" spans="1:9" ht="18" customHeight="1" x14ac:dyDescent="0.15">
      <c r="A67" s="14">
        <v>23</v>
      </c>
      <c r="B67" s="14">
        <v>16</v>
      </c>
      <c r="E67" s="57">
        <v>46388</v>
      </c>
      <c r="F67" s="57"/>
      <c r="G67" s="11" t="str">
        <f t="shared" si="0"/>
        <v>2027年1月16日～2027年2月15日</v>
      </c>
      <c r="H67" s="11">
        <v>20</v>
      </c>
      <c r="I67" s="12" t="str">
        <f t="shared" si="1"/>
        <v>2027年1月16日～2027年2月15日</v>
      </c>
    </row>
    <row r="68" spans="1:9" ht="18" customHeight="1" x14ac:dyDescent="0.15">
      <c r="A68" s="14">
        <v>24</v>
      </c>
      <c r="B68" s="14">
        <v>16</v>
      </c>
      <c r="E68" s="57">
        <v>46419</v>
      </c>
      <c r="F68" s="57"/>
      <c r="G68" s="11" t="str">
        <f t="shared" si="0"/>
        <v>2027年2月16日～2027年3月15日</v>
      </c>
      <c r="H68" s="11">
        <v>19</v>
      </c>
      <c r="I68" s="12" t="str">
        <f t="shared" si="1"/>
        <v>2027年2月16日～2027年3月15日</v>
      </c>
    </row>
    <row r="69" spans="1:9" ht="18" customHeight="1" x14ac:dyDescent="0.15">
      <c r="A69" s="14">
        <v>25</v>
      </c>
      <c r="B69" s="14">
        <v>16</v>
      </c>
      <c r="E69" s="51"/>
      <c r="F69" s="51"/>
      <c r="G69" s="12"/>
      <c r="H69" s="12"/>
    </row>
    <row r="70" spans="1:9" ht="18" customHeight="1" x14ac:dyDescent="0.15">
      <c r="A70" s="14">
        <v>26</v>
      </c>
      <c r="B70" s="14">
        <v>16</v>
      </c>
      <c r="E70" s="51"/>
      <c r="F70" s="51"/>
      <c r="G70" s="12"/>
      <c r="H70" s="12"/>
    </row>
    <row r="71" spans="1:9" ht="18" customHeight="1" x14ac:dyDescent="0.15">
      <c r="A71" s="14">
        <v>27</v>
      </c>
      <c r="B71" s="14">
        <v>16</v>
      </c>
    </row>
    <row r="72" spans="1:9" ht="18" customHeight="1" x14ac:dyDescent="0.15">
      <c r="A72" s="14">
        <v>28</v>
      </c>
      <c r="B72" s="14">
        <v>16</v>
      </c>
    </row>
    <row r="73" spans="1:9" ht="18" customHeight="1" x14ac:dyDescent="0.15">
      <c r="A73" s="14">
        <v>29</v>
      </c>
      <c r="B73" s="14">
        <v>16</v>
      </c>
    </row>
    <row r="74" spans="1:9" ht="18" customHeight="1" x14ac:dyDescent="0.15">
      <c r="A74" s="14">
        <v>30</v>
      </c>
      <c r="B74" s="14">
        <v>16</v>
      </c>
    </row>
  </sheetData>
  <mergeCells count="175">
    <mergeCell ref="K4:O4"/>
    <mergeCell ref="E69:F69"/>
    <mergeCell ref="R1:V1"/>
    <mergeCell ref="R2:S2"/>
    <mergeCell ref="T2:V2"/>
    <mergeCell ref="O5:P5"/>
    <mergeCell ref="E65:F65"/>
    <mergeCell ref="E66:F66"/>
    <mergeCell ref="E67:F67"/>
    <mergeCell ref="E68:F68"/>
    <mergeCell ref="Q31:S31"/>
    <mergeCell ref="Q32:S32"/>
    <mergeCell ref="Q33:S33"/>
    <mergeCell ref="Q34:S34"/>
    <mergeCell ref="Q35:S35"/>
    <mergeCell ref="Q36:S36"/>
    <mergeCell ref="Q37:S37"/>
    <mergeCell ref="Q38:S38"/>
    <mergeCell ref="M42:N42"/>
    <mergeCell ref="Q22:S22"/>
    <mergeCell ref="Q23:S23"/>
    <mergeCell ref="Q24:S24"/>
    <mergeCell ref="Q25:S25"/>
    <mergeCell ref="Q26:S26"/>
    <mergeCell ref="E70:F70"/>
    <mergeCell ref="Q5:V5"/>
    <mergeCell ref="H42:L42"/>
    <mergeCell ref="E57:F57"/>
    <mergeCell ref="E58:F58"/>
    <mergeCell ref="E59:F59"/>
    <mergeCell ref="E60:F60"/>
    <mergeCell ref="E61:F61"/>
    <mergeCell ref="E62:F62"/>
    <mergeCell ref="E63:F63"/>
    <mergeCell ref="E64:F64"/>
    <mergeCell ref="M46:N46"/>
    <mergeCell ref="H46:L46"/>
    <mergeCell ref="H41:O41"/>
    <mergeCell ref="D7:S7"/>
    <mergeCell ref="T49:V49"/>
    <mergeCell ref="T50:V53"/>
    <mergeCell ref="H43:L43"/>
    <mergeCell ref="H44:L44"/>
    <mergeCell ref="H45:L45"/>
    <mergeCell ref="M43:N43"/>
    <mergeCell ref="M44:N44"/>
    <mergeCell ref="M45:N45"/>
    <mergeCell ref="Q28:S28"/>
    <mergeCell ref="Q29:S29"/>
    <mergeCell ref="A5:B5"/>
    <mergeCell ref="C5:D5"/>
    <mergeCell ref="E5:F5"/>
    <mergeCell ref="Q19:S19"/>
    <mergeCell ref="Q20:S20"/>
    <mergeCell ref="Q21:S21"/>
    <mergeCell ref="Q8:S8"/>
    <mergeCell ref="F9:I9"/>
    <mergeCell ref="F10:I10"/>
    <mergeCell ref="F11:I11"/>
    <mergeCell ref="F12:I12"/>
    <mergeCell ref="F13:I13"/>
    <mergeCell ref="F14:I14"/>
    <mergeCell ref="F15:I15"/>
    <mergeCell ref="F16:I16"/>
    <mergeCell ref="D24:E24"/>
    <mergeCell ref="D29:E29"/>
    <mergeCell ref="J29:P29"/>
    <mergeCell ref="D21:E21"/>
    <mergeCell ref="J21:P21"/>
    <mergeCell ref="D22:E22"/>
    <mergeCell ref="Q27:S27"/>
    <mergeCell ref="D23:E23"/>
    <mergeCell ref="H1:L2"/>
    <mergeCell ref="A1:G2"/>
    <mergeCell ref="R4:V4"/>
    <mergeCell ref="D37:E37"/>
    <mergeCell ref="F37:I37"/>
    <mergeCell ref="J37:P37"/>
    <mergeCell ref="F8:I8"/>
    <mergeCell ref="A4:B4"/>
    <mergeCell ref="C4:D4"/>
    <mergeCell ref="E4:F4"/>
    <mergeCell ref="G4:H4"/>
    <mergeCell ref="I4:J4"/>
    <mergeCell ref="P4:Q4"/>
    <mergeCell ref="Q9:S9"/>
    <mergeCell ref="Q10:S10"/>
    <mergeCell ref="Q11:S11"/>
    <mergeCell ref="Q12:S12"/>
    <mergeCell ref="Q13:S13"/>
    <mergeCell ref="Q14:S14"/>
    <mergeCell ref="Q15:S15"/>
    <mergeCell ref="Q16:S16"/>
    <mergeCell ref="Q17:S17"/>
    <mergeCell ref="Q18:S18"/>
    <mergeCell ref="Q30:S30"/>
    <mergeCell ref="D38:E38"/>
    <mergeCell ref="J38:P38"/>
    <mergeCell ref="F38:I38"/>
    <mergeCell ref="D34:E34"/>
    <mergeCell ref="J34:P34"/>
    <mergeCell ref="D35:E35"/>
    <mergeCell ref="J35:P35"/>
    <mergeCell ref="D36:E36"/>
    <mergeCell ref="J36:P36"/>
    <mergeCell ref="F34:I34"/>
    <mergeCell ref="F35:I35"/>
    <mergeCell ref="F36:I36"/>
    <mergeCell ref="D31:E31"/>
    <mergeCell ref="J31:P31"/>
    <mergeCell ref="D32:E32"/>
    <mergeCell ref="J32:P32"/>
    <mergeCell ref="D33:E33"/>
    <mergeCell ref="J33:P33"/>
    <mergeCell ref="F31:I31"/>
    <mergeCell ref="F32:I32"/>
    <mergeCell ref="F33:I33"/>
    <mergeCell ref="D30:E30"/>
    <mergeCell ref="J30:P30"/>
    <mergeCell ref="F29:I29"/>
    <mergeCell ref="F30:I30"/>
    <mergeCell ref="D26:E26"/>
    <mergeCell ref="J26:P26"/>
    <mergeCell ref="D27:E27"/>
    <mergeCell ref="J27:P27"/>
    <mergeCell ref="D28:E28"/>
    <mergeCell ref="J28:P28"/>
    <mergeCell ref="F26:I26"/>
    <mergeCell ref="F27:I27"/>
    <mergeCell ref="F28:I28"/>
    <mergeCell ref="J23:P23"/>
    <mergeCell ref="D18:E18"/>
    <mergeCell ref="J18:P18"/>
    <mergeCell ref="D19:E19"/>
    <mergeCell ref="J19:P19"/>
    <mergeCell ref="J24:P24"/>
    <mergeCell ref="D25:E25"/>
    <mergeCell ref="J25:P25"/>
    <mergeCell ref="F23:I23"/>
    <mergeCell ref="F24:I24"/>
    <mergeCell ref="F25:I25"/>
    <mergeCell ref="J22:P22"/>
    <mergeCell ref="D11:E11"/>
    <mergeCell ref="J11:P11"/>
    <mergeCell ref="D12:E12"/>
    <mergeCell ref="J12:P12"/>
    <mergeCell ref="D13:E13"/>
    <mergeCell ref="J13:P13"/>
    <mergeCell ref="F20:I20"/>
    <mergeCell ref="F21:I21"/>
    <mergeCell ref="F22:I22"/>
    <mergeCell ref="G5:N5"/>
    <mergeCell ref="M49:O49"/>
    <mergeCell ref="M50:O53"/>
    <mergeCell ref="P49:R49"/>
    <mergeCell ref="P50:R53"/>
    <mergeCell ref="D14:E14"/>
    <mergeCell ref="J14:P14"/>
    <mergeCell ref="D15:E15"/>
    <mergeCell ref="J15:P15"/>
    <mergeCell ref="D16:E16"/>
    <mergeCell ref="J16:P16"/>
    <mergeCell ref="D17:E17"/>
    <mergeCell ref="J17:P17"/>
    <mergeCell ref="F17:I17"/>
    <mergeCell ref="F18:I18"/>
    <mergeCell ref="F19:I19"/>
    <mergeCell ref="D20:E20"/>
    <mergeCell ref="J20:P20"/>
    <mergeCell ref="D8:E8"/>
    <mergeCell ref="D9:E9"/>
    <mergeCell ref="J8:P8"/>
    <mergeCell ref="J9:P9"/>
    <mergeCell ref="D10:E10"/>
    <mergeCell ref="J10:P10"/>
  </mergeCells>
  <phoneticPr fontId="1"/>
  <dataValidations count="3">
    <dataValidation type="list" allowBlank="1" showInputMessage="1" showErrorMessage="1" sqref="C4:D4" xr:uid="{00000000-0002-0000-0000-000000000000}">
      <formula1>"TCJ,TEC,TSS"</formula1>
    </dataValidation>
    <dataValidation type="list" allowBlank="1" showInputMessage="1" showErrorMessage="1" sqref="F9:H38" xr:uid="{00000000-0002-0000-0000-000001000000}">
      <formula1>"3時間以上の近郊外出,長距離出張,宿泊出張"</formula1>
    </dataValidation>
    <dataValidation type="list" allowBlank="1" showInputMessage="1" showErrorMessage="1" sqref="Q5:V5" xr:uid="{00000000-0002-0000-0000-000002000000}">
      <formula1>$G$57:$G$68</formula1>
    </dataValidation>
  </dataValidations>
  <printOptions horizontalCentered="1"/>
  <pageMargins left="0.39370078740157483" right="0.39370078740157483" top="0.39370078740157483" bottom="0.39370078740157483" header="0.51181102362204722" footer="0.31496062992125984"/>
  <pageSetup paperSize="9"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秋野 浩隆</dc:creator>
  <cp:lastModifiedBy>Sumiko Tomoi</cp:lastModifiedBy>
  <cp:lastPrinted>2018-10-02T00:37:56Z</cp:lastPrinted>
  <dcterms:created xsi:type="dcterms:W3CDTF">2018-03-06T03:58:47Z</dcterms:created>
  <dcterms:modified xsi:type="dcterms:W3CDTF">2026-04-16T04:14:15Z</dcterms:modified>
</cp:coreProperties>
</file>