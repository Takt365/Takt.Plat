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E3931\Desktop\"/>
    </mc:Choice>
  </mc:AlternateContent>
  <bookViews>
    <workbookView xWindow="0" yWindow="0" windowWidth="23040" windowHeight="10668"/>
  </bookViews>
  <sheets>
    <sheet name="Sheet1" sheetId="1" r:id="rId1"/>
    <sheet name="Sheet2" sheetId="2" state="hidden" r:id="rId2"/>
  </sheets>
  <definedNames>
    <definedName name="_xlnm.Print_Area" localSheetId="0">Sheet1!$A$1:$V$204</definedName>
  </definedNames>
  <calcPr calcId="162913"/>
</workbook>
</file>

<file path=xl/calcChain.xml><?xml version="1.0" encoding="utf-8"?>
<calcChain xmlns="http://schemas.openxmlformats.org/spreadsheetml/2006/main">
  <c r="Q24" i="1" l="1"/>
  <c r="Q28" i="1"/>
  <c r="F1" i="1" l="1"/>
  <c r="Q29" i="1" l="1"/>
  <c r="Q27" i="1"/>
  <c r="Q26" i="1"/>
  <c r="Q25" i="1"/>
  <c r="Q23" i="1"/>
  <c r="Q22" i="1"/>
  <c r="G31" i="1" l="1"/>
  <c r="D204" i="1"/>
  <c r="T202" i="1" s="1"/>
  <c r="W202" i="1" s="1"/>
  <c r="T203" i="1"/>
  <c r="O204" i="1"/>
  <c r="D198" i="1"/>
  <c r="T196" i="1" s="1"/>
  <c r="W196" i="1" s="1"/>
  <c r="T197" i="1"/>
  <c r="O198" i="1"/>
  <c r="D192" i="1"/>
  <c r="T190" i="1" s="1"/>
  <c r="W190" i="1" s="1"/>
  <c r="T191" i="1"/>
  <c r="O192" i="1"/>
  <c r="D186" i="1"/>
  <c r="T184" i="1" s="1"/>
  <c r="W184" i="1" s="1"/>
  <c r="D128" i="1"/>
  <c r="T128" i="1" s="1"/>
  <c r="O186" i="1"/>
  <c r="O149" i="1"/>
  <c r="T146" i="1" s="1"/>
  <c r="T148" i="1" s="1"/>
  <c r="O142" i="1"/>
  <c r="T139" i="1" s="1"/>
  <c r="T141" i="1" s="1"/>
  <c r="O141" i="1"/>
  <c r="O135" i="1"/>
  <c r="T132" i="1" s="1"/>
  <c r="T134" i="1" s="1"/>
  <c r="O134" i="1"/>
  <c r="O128" i="1"/>
  <c r="T125" i="1" s="1"/>
  <c r="O127" i="1"/>
  <c r="O148" i="1"/>
  <c r="O147" i="1"/>
  <c r="O140" i="1"/>
  <c r="O133" i="1"/>
  <c r="O126" i="1"/>
  <c r="T204" i="1" l="1"/>
  <c r="T198" i="1"/>
  <c r="T192" i="1"/>
  <c r="T186" i="1"/>
  <c r="T126" i="1"/>
  <c r="W126" i="1" s="1"/>
  <c r="T185" i="1"/>
  <c r="G28" i="1" s="1"/>
  <c r="T127" i="1"/>
  <c r="D149" i="1"/>
  <c r="T149" i="1" s="1"/>
  <c r="D142" i="1"/>
  <c r="T142" i="1" s="1"/>
  <c r="D135" i="1"/>
  <c r="T135" i="1" s="1"/>
  <c r="U28" i="1" l="1"/>
  <c r="U27" i="1"/>
  <c r="U23" i="1"/>
  <c r="U24" i="1"/>
  <c r="U22" i="1"/>
  <c r="U25" i="1"/>
  <c r="U26" i="1"/>
  <c r="U29" i="1"/>
  <c r="M180" i="1"/>
  <c r="M121" i="1"/>
  <c r="G23" i="1"/>
  <c r="T133" i="1"/>
  <c r="W133" i="1" s="1"/>
  <c r="T147" i="1"/>
  <c r="W147" i="1" s="1"/>
  <c r="T140" i="1"/>
  <c r="W140" i="1" s="1"/>
  <c r="S162" i="1" l="1"/>
  <c r="G25" i="1" s="1"/>
  <c r="U31" i="1" l="1"/>
  <c r="Q94" i="1"/>
  <c r="S94" i="1" s="1"/>
  <c r="O94" i="1"/>
  <c r="Q109" i="1"/>
  <c r="S109" i="1" s="1"/>
  <c r="O109" i="1"/>
  <c r="Q108" i="1"/>
  <c r="S108" i="1" s="1"/>
  <c r="O108" i="1"/>
  <c r="Q107" i="1"/>
  <c r="S107" i="1" s="1"/>
  <c r="O107" i="1"/>
  <c r="Q106" i="1"/>
  <c r="S106" i="1" s="1"/>
  <c r="O106" i="1"/>
  <c r="Q105" i="1"/>
  <c r="S105" i="1" s="1"/>
  <c r="O105" i="1"/>
  <c r="Q78" i="1"/>
  <c r="S78" i="1" s="1"/>
  <c r="O78" i="1"/>
  <c r="Q77" i="1"/>
  <c r="S77" i="1" s="1"/>
  <c r="O77" i="1"/>
  <c r="Q97" i="1"/>
  <c r="S97" i="1" s="1"/>
  <c r="O97" i="1"/>
  <c r="Q96" i="1"/>
  <c r="S96" i="1" s="1"/>
  <c r="O96" i="1"/>
  <c r="Q95" i="1"/>
  <c r="S95" i="1" s="1"/>
  <c r="O95" i="1"/>
  <c r="Q93" i="1"/>
  <c r="S93" i="1" s="1"/>
  <c r="O93" i="1"/>
  <c r="Q92" i="1"/>
  <c r="S92" i="1" s="1"/>
  <c r="O92" i="1"/>
  <c r="S110" i="1" l="1"/>
  <c r="G21" i="1" s="1"/>
  <c r="S98" i="1"/>
  <c r="G20" i="1" s="1"/>
  <c r="S170" i="1" l="1"/>
  <c r="G26" i="1" s="1"/>
  <c r="U19" i="1" s="1"/>
  <c r="S178" i="1"/>
  <c r="G27" i="1" s="1"/>
  <c r="U21" i="1" s="1"/>
  <c r="Q118" i="1"/>
  <c r="S118" i="1" s="1"/>
  <c r="O118" i="1"/>
  <c r="Q117" i="1"/>
  <c r="S117" i="1" s="1"/>
  <c r="O117" i="1"/>
  <c r="Q116" i="1"/>
  <c r="S116" i="1" s="1"/>
  <c r="O116" i="1"/>
  <c r="Q115" i="1"/>
  <c r="S115" i="1" s="1"/>
  <c r="O115" i="1"/>
  <c r="Q114" i="1"/>
  <c r="S114" i="1" s="1"/>
  <c r="O114" i="1"/>
  <c r="I59" i="1"/>
  <c r="G29" i="1" l="1"/>
  <c r="S119" i="1"/>
  <c r="G22" i="1" s="1"/>
  <c r="U20" i="1" s="1"/>
  <c r="O87" i="1"/>
  <c r="O86" i="1"/>
  <c r="O85" i="1"/>
  <c r="O84" i="1"/>
  <c r="O83" i="1"/>
  <c r="O82" i="1"/>
  <c r="O81" i="1"/>
  <c r="O80" i="1"/>
  <c r="O79" i="1"/>
  <c r="O76" i="1"/>
  <c r="O75" i="1"/>
  <c r="O74" i="1"/>
  <c r="O73" i="1"/>
  <c r="O72" i="1"/>
  <c r="O71" i="1"/>
  <c r="O70" i="1"/>
  <c r="O69" i="1"/>
  <c r="Q87" i="1"/>
  <c r="S87" i="1" s="1"/>
  <c r="Q86" i="1"/>
  <c r="S86" i="1" s="1"/>
  <c r="Q85" i="1"/>
  <c r="S85" i="1" s="1"/>
  <c r="Q84" i="1"/>
  <c r="S84" i="1" s="1"/>
  <c r="Q83" i="1"/>
  <c r="S83" i="1" s="1"/>
  <c r="Q82" i="1"/>
  <c r="S82" i="1" s="1"/>
  <c r="Q81" i="1"/>
  <c r="S81" i="1" s="1"/>
  <c r="Q80" i="1"/>
  <c r="S80" i="1" s="1"/>
  <c r="Q79" i="1"/>
  <c r="S79" i="1" s="1"/>
  <c r="Q76" i="1"/>
  <c r="S76" i="1" s="1"/>
  <c r="Q75" i="1"/>
  <c r="S75" i="1" s="1"/>
  <c r="Q74" i="1"/>
  <c r="S74" i="1" s="1"/>
  <c r="Q73" i="1"/>
  <c r="S73" i="1" s="1"/>
  <c r="Q72" i="1"/>
  <c r="S72" i="1" s="1"/>
  <c r="Q71" i="1"/>
  <c r="S71" i="1" s="1"/>
  <c r="Q70" i="1"/>
  <c r="S70" i="1" s="1"/>
  <c r="Q69" i="1"/>
  <c r="S69" i="1" s="1"/>
  <c r="Q68" i="1"/>
  <c r="S68" i="1" s="1"/>
  <c r="O68" i="1"/>
  <c r="I60" i="1"/>
  <c r="I58" i="1"/>
  <c r="I61" i="1" l="1"/>
  <c r="G18" i="1" s="1"/>
  <c r="S88" i="1"/>
  <c r="G19" i="1" s="1"/>
  <c r="U18" i="1" l="1"/>
  <c r="U30" i="1" s="1"/>
  <c r="G24" i="1"/>
  <c r="G30" i="1" s="1"/>
  <c r="G32" i="1" s="1"/>
</calcChain>
</file>

<file path=xl/sharedStrings.xml><?xml version="1.0" encoding="utf-8"?>
<sst xmlns="http://schemas.openxmlformats.org/spreadsheetml/2006/main" count="415" uniqueCount="197">
  <si>
    <t>換算レート表</t>
    <rPh sb="0" eb="2">
      <t>カンサン</t>
    </rPh>
    <rPh sb="5" eb="6">
      <t>ヒョウ</t>
    </rPh>
    <phoneticPr fontId="2"/>
  </si>
  <si>
    <t>日付</t>
    <rPh sb="0" eb="2">
      <t>ヒヅケ</t>
    </rPh>
    <phoneticPr fontId="2"/>
  </si>
  <si>
    <t>両替日付</t>
    <rPh sb="0" eb="2">
      <t>リョウガエ</t>
    </rPh>
    <rPh sb="2" eb="4">
      <t>ヒヅケ</t>
    </rPh>
    <phoneticPr fontId="2"/>
  </si>
  <si>
    <t>通貨単位</t>
    <rPh sb="0" eb="2">
      <t>ツウカ</t>
    </rPh>
    <rPh sb="2" eb="4">
      <t>タンイ</t>
    </rPh>
    <phoneticPr fontId="2"/>
  </si>
  <si>
    <t>国名</t>
    <rPh sb="0" eb="2">
      <t>コクメイ</t>
    </rPh>
    <phoneticPr fontId="2"/>
  </si>
  <si>
    <t>交通手段</t>
    <rPh sb="0" eb="2">
      <t>コウツウ</t>
    </rPh>
    <rPh sb="2" eb="4">
      <t>シュダン</t>
    </rPh>
    <phoneticPr fontId="2"/>
  </si>
  <si>
    <t>JPY換算</t>
    <rPh sb="3" eb="5">
      <t>カンサン</t>
    </rPh>
    <phoneticPr fontId="2"/>
  </si>
  <si>
    <t>領収書No.</t>
    <rPh sb="0" eb="3">
      <t>リョウシュウショ</t>
    </rPh>
    <phoneticPr fontId="2"/>
  </si>
  <si>
    <t>外貨金額</t>
    <rPh sb="0" eb="2">
      <t>ガイカ</t>
    </rPh>
    <rPh sb="2" eb="3">
      <t>キン</t>
    </rPh>
    <rPh sb="3" eb="4">
      <t>ガク</t>
    </rPh>
    <phoneticPr fontId="2"/>
  </si>
  <si>
    <t>期間（自）</t>
    <rPh sb="0" eb="2">
      <t>キカン</t>
    </rPh>
    <rPh sb="3" eb="4">
      <t>ジ</t>
    </rPh>
    <phoneticPr fontId="2"/>
  </si>
  <si>
    <t>期間（至）</t>
    <rPh sb="0" eb="2">
      <t>キカン</t>
    </rPh>
    <rPh sb="3" eb="4">
      <t>イタル</t>
    </rPh>
    <phoneticPr fontId="2"/>
  </si>
  <si>
    <t>合計</t>
    <rPh sb="0" eb="2">
      <t>ゴウケイ</t>
    </rPh>
    <phoneticPr fontId="2"/>
  </si>
  <si>
    <t>レート表
No.</t>
    <rPh sb="3" eb="4">
      <t>ヒョウ</t>
    </rPh>
    <phoneticPr fontId="2"/>
  </si>
  <si>
    <t>レート表
No.選択</t>
    <rPh sb="3" eb="4">
      <t>ヒョウ</t>
    </rPh>
    <rPh sb="8" eb="10">
      <t>センタク</t>
    </rPh>
    <phoneticPr fontId="2"/>
  </si>
  <si>
    <t>区間
（自）</t>
    <rPh sb="0" eb="2">
      <t>クカン</t>
    </rPh>
    <rPh sb="4" eb="5">
      <t>ジ</t>
    </rPh>
    <phoneticPr fontId="2"/>
  </si>
  <si>
    <t>区間
（至）</t>
    <rPh sb="0" eb="2">
      <t>クカン</t>
    </rPh>
    <rPh sb="4" eb="5">
      <t>イタル</t>
    </rPh>
    <phoneticPr fontId="2"/>
  </si>
  <si>
    <t>通貨
（読込）</t>
    <rPh sb="0" eb="2">
      <t>ツウカ</t>
    </rPh>
    <rPh sb="4" eb="5">
      <t>ヨ</t>
    </rPh>
    <rPh sb="5" eb="6">
      <t>コ</t>
    </rPh>
    <phoneticPr fontId="2"/>
  </si>
  <si>
    <t>出張日当</t>
    <rPh sb="0" eb="2">
      <t>シュッチョウ</t>
    </rPh>
    <rPh sb="2" eb="4">
      <t>ニットウ</t>
    </rPh>
    <phoneticPr fontId="2"/>
  </si>
  <si>
    <t>費目</t>
    <rPh sb="0" eb="2">
      <t>ヒモク</t>
    </rPh>
    <phoneticPr fontId="2"/>
  </si>
  <si>
    <t>海外日当</t>
    <rPh sb="0" eb="2">
      <t>カイガイ</t>
    </rPh>
    <rPh sb="2" eb="4">
      <t>ニットウ</t>
    </rPh>
    <phoneticPr fontId="2"/>
  </si>
  <si>
    <t>小計</t>
    <rPh sb="0" eb="2">
      <t>ショウケイ</t>
    </rPh>
    <phoneticPr fontId="2"/>
  </si>
  <si>
    <t>休日移動加算</t>
    <rPh sb="0" eb="2">
      <t>キュウジツ</t>
    </rPh>
    <rPh sb="2" eb="4">
      <t>イドウ</t>
    </rPh>
    <rPh sb="4" eb="6">
      <t>カサン</t>
    </rPh>
    <phoneticPr fontId="2"/>
  </si>
  <si>
    <t>国内日当</t>
    <rPh sb="0" eb="2">
      <t>コクナイ</t>
    </rPh>
    <rPh sb="2" eb="4">
      <t>ニットウ</t>
    </rPh>
    <phoneticPr fontId="2"/>
  </si>
  <si>
    <t>×1/2</t>
    <phoneticPr fontId="2"/>
  </si>
  <si>
    <t>合計</t>
    <rPh sb="0" eb="2">
      <t>ゴウケイ</t>
    </rPh>
    <phoneticPr fontId="2"/>
  </si>
  <si>
    <t>摘要</t>
    <rPh sb="0" eb="2">
      <t>テキヨウ</t>
    </rPh>
    <phoneticPr fontId="2"/>
  </si>
  <si>
    <t>海外出張精算書</t>
    <rPh sb="0" eb="2">
      <t>カイガイ</t>
    </rPh>
    <rPh sb="2" eb="4">
      <t>シュッチョウ</t>
    </rPh>
    <rPh sb="4" eb="6">
      <t>セイサン</t>
    </rPh>
    <rPh sb="6" eb="7">
      <t>ショ</t>
    </rPh>
    <phoneticPr fontId="2"/>
  </si>
  <si>
    <t>印</t>
    <rPh sb="0" eb="1">
      <t>イン</t>
    </rPh>
    <phoneticPr fontId="2"/>
  </si>
  <si>
    <t>提出日</t>
    <rPh sb="0" eb="2">
      <t>テイシュツ</t>
    </rPh>
    <rPh sb="2" eb="3">
      <t>ビ</t>
    </rPh>
    <phoneticPr fontId="2"/>
  </si>
  <si>
    <t>出発日時</t>
    <rPh sb="0" eb="2">
      <t>シュッパツ</t>
    </rPh>
    <rPh sb="2" eb="4">
      <t>ニチジ</t>
    </rPh>
    <phoneticPr fontId="2"/>
  </si>
  <si>
    <t>帰着日時</t>
    <rPh sb="0" eb="2">
      <t>キチャク</t>
    </rPh>
    <rPh sb="2" eb="4">
      <t>ニチジ</t>
    </rPh>
    <phoneticPr fontId="2"/>
  </si>
  <si>
    <t>泊数</t>
    <rPh sb="0" eb="1">
      <t>ハク</t>
    </rPh>
    <rPh sb="1" eb="2">
      <t>スウ</t>
    </rPh>
    <phoneticPr fontId="2"/>
  </si>
  <si>
    <t>宿泊先名</t>
    <rPh sb="0" eb="2">
      <t>シュクハク</t>
    </rPh>
    <rPh sb="2" eb="3">
      <t>サキ</t>
    </rPh>
    <rPh sb="3" eb="4">
      <t>メイ</t>
    </rPh>
    <phoneticPr fontId="2"/>
  </si>
  <si>
    <t>社員番号</t>
    <rPh sb="0" eb="2">
      <t>シャイン</t>
    </rPh>
    <rPh sb="2" eb="4">
      <t>バンゴウ</t>
    </rPh>
    <phoneticPr fontId="2"/>
  </si>
  <si>
    <t>氏名</t>
    <rPh sb="0" eb="2">
      <t>シメイ</t>
    </rPh>
    <phoneticPr fontId="2"/>
  </si>
  <si>
    <t>負担部門</t>
    <rPh sb="0" eb="2">
      <t>フタン</t>
    </rPh>
    <rPh sb="2" eb="4">
      <t>ブモン</t>
    </rPh>
    <phoneticPr fontId="2"/>
  </si>
  <si>
    <t>所属</t>
    <rPh sb="0" eb="2">
      <t>ショゾク</t>
    </rPh>
    <phoneticPr fontId="2"/>
  </si>
  <si>
    <t>年</t>
    <rPh sb="0" eb="1">
      <t>ネン</t>
    </rPh>
    <phoneticPr fontId="2"/>
  </si>
  <si>
    <t>月</t>
    <rPh sb="0" eb="1">
      <t>ガツ</t>
    </rPh>
    <phoneticPr fontId="2"/>
  </si>
  <si>
    <t>日</t>
    <rPh sb="0" eb="1">
      <t>ヒ</t>
    </rPh>
    <phoneticPr fontId="2"/>
  </si>
  <si>
    <t>時</t>
    <rPh sb="0" eb="1">
      <t>ジ</t>
    </rPh>
    <phoneticPr fontId="2"/>
  </si>
  <si>
    <t>分</t>
    <rPh sb="0" eb="1">
      <t>フン</t>
    </rPh>
    <phoneticPr fontId="2"/>
  </si>
  <si>
    <t>出国日は海外日当を支給、帰国日はフライト着時刻により下記のとおり支給</t>
    <rPh sb="0" eb="2">
      <t>シュッコク</t>
    </rPh>
    <rPh sb="2" eb="3">
      <t>ビ</t>
    </rPh>
    <rPh sb="4" eb="6">
      <t>カイガイ</t>
    </rPh>
    <rPh sb="6" eb="8">
      <t>ニットウ</t>
    </rPh>
    <rPh sb="9" eb="11">
      <t>シキュウ</t>
    </rPh>
    <rPh sb="12" eb="15">
      <t>キコクビ</t>
    </rPh>
    <rPh sb="20" eb="21">
      <t>チャク</t>
    </rPh>
    <rPh sb="21" eb="23">
      <t>ジコク</t>
    </rPh>
    <rPh sb="26" eb="28">
      <t>カキ</t>
    </rPh>
    <rPh sb="32" eb="34">
      <t>シキュウ</t>
    </rPh>
    <phoneticPr fontId="2"/>
  </si>
  <si>
    <t>帰国日（フライト着）が午後の場合には海外日当5,000円を支給</t>
    <rPh sb="0" eb="3">
      <t>キコクビ</t>
    </rPh>
    <rPh sb="8" eb="9">
      <t>チャク</t>
    </rPh>
    <rPh sb="11" eb="13">
      <t>ゴゴ</t>
    </rPh>
    <rPh sb="14" eb="16">
      <t>バアイ</t>
    </rPh>
    <rPh sb="18" eb="20">
      <t>カイガイ</t>
    </rPh>
    <rPh sb="20" eb="22">
      <t>ニットウ</t>
    </rPh>
    <rPh sb="27" eb="28">
      <t>エン</t>
    </rPh>
    <rPh sb="29" eb="31">
      <t>シキュウ</t>
    </rPh>
    <phoneticPr fontId="2"/>
  </si>
  <si>
    <t>帰国日（フライト着）が午前の場合には国内日当の2分の一2,000円を支給</t>
    <rPh sb="0" eb="3">
      <t>キコクビ</t>
    </rPh>
    <rPh sb="8" eb="9">
      <t>チャク</t>
    </rPh>
    <rPh sb="11" eb="13">
      <t>ゴゼン</t>
    </rPh>
    <rPh sb="14" eb="16">
      <t>バアイ</t>
    </rPh>
    <rPh sb="18" eb="20">
      <t>コクナイ</t>
    </rPh>
    <rPh sb="20" eb="22">
      <t>ニットウ</t>
    </rPh>
    <rPh sb="24" eb="25">
      <t>ブン</t>
    </rPh>
    <rPh sb="26" eb="27">
      <t>イチ</t>
    </rPh>
    <rPh sb="32" eb="33">
      <t>エン</t>
    </rPh>
    <rPh sb="34" eb="36">
      <t>シキュウ</t>
    </rPh>
    <phoneticPr fontId="2"/>
  </si>
  <si>
    <t>日当額</t>
    <rPh sb="0" eb="2">
      <t>ニットウ</t>
    </rPh>
    <rPh sb="2" eb="3">
      <t>ガク</t>
    </rPh>
    <phoneticPr fontId="2"/>
  </si>
  <si>
    <t>該当日数</t>
    <rPh sb="0" eb="2">
      <t>ガイトウ</t>
    </rPh>
    <rPh sb="2" eb="4">
      <t>ニッスウ</t>
    </rPh>
    <phoneticPr fontId="2"/>
  </si>
  <si>
    <t>備考</t>
    <rPh sb="0" eb="2">
      <t>ビコウ</t>
    </rPh>
    <phoneticPr fontId="2"/>
  </si>
  <si>
    <t>タクシー利用の場合その理由</t>
    <rPh sb="4" eb="6">
      <t>リヨウ</t>
    </rPh>
    <rPh sb="7" eb="9">
      <t>バアイ</t>
    </rPh>
    <rPh sb="11" eb="13">
      <t>リユウ</t>
    </rPh>
    <phoneticPr fontId="2"/>
  </si>
  <si>
    <t>金額</t>
    <rPh sb="0" eb="1">
      <t>キン</t>
    </rPh>
    <rPh sb="1" eb="2">
      <t>ガク</t>
    </rPh>
    <phoneticPr fontId="2"/>
  </si>
  <si>
    <t>金額</t>
    <rPh sb="0" eb="1">
      <t>キン</t>
    </rPh>
    <rPh sb="1" eb="2">
      <t>ガク</t>
    </rPh>
    <phoneticPr fontId="2"/>
  </si>
  <si>
    <t>場所</t>
    <rPh sb="0" eb="2">
      <t>バショ</t>
    </rPh>
    <phoneticPr fontId="2"/>
  </si>
  <si>
    <t>目的</t>
    <rPh sb="0" eb="2">
      <t>モクテキ</t>
    </rPh>
    <phoneticPr fontId="2"/>
  </si>
  <si>
    <t>相手先社名</t>
    <rPh sb="0" eb="3">
      <t>アイテサキ</t>
    </rPh>
    <rPh sb="3" eb="5">
      <t>シャメイ</t>
    </rPh>
    <phoneticPr fontId="2"/>
  </si>
  <si>
    <t>当社との関係</t>
    <rPh sb="0" eb="2">
      <t>トウシャ</t>
    </rPh>
    <rPh sb="4" eb="6">
      <t>カンケイ</t>
    </rPh>
    <phoneticPr fontId="2"/>
  </si>
  <si>
    <t>支出金額</t>
    <rPh sb="0" eb="2">
      <t>シシュツ</t>
    </rPh>
    <rPh sb="2" eb="4">
      <t>キンガク</t>
    </rPh>
    <phoneticPr fontId="2"/>
  </si>
  <si>
    <t>一人あたり</t>
    <rPh sb="0" eb="2">
      <t>ヒトリ</t>
    </rPh>
    <phoneticPr fontId="2"/>
  </si>
  <si>
    <t>稟議番号</t>
    <rPh sb="0" eb="2">
      <t>リンギ</t>
    </rPh>
    <rPh sb="2" eb="4">
      <t>バンゴウ</t>
    </rPh>
    <phoneticPr fontId="2"/>
  </si>
  <si>
    <t>精算金額</t>
    <rPh sb="0" eb="2">
      <t>セイサン</t>
    </rPh>
    <rPh sb="2" eb="4">
      <t>キンガク</t>
    </rPh>
    <phoneticPr fontId="2"/>
  </si>
  <si>
    <t>社外人数計</t>
    <rPh sb="0" eb="2">
      <t>シャガイ</t>
    </rPh>
    <rPh sb="2" eb="4">
      <t>ニンズウ</t>
    </rPh>
    <rPh sb="4" eb="5">
      <t>ケイ</t>
    </rPh>
    <phoneticPr fontId="2"/>
  </si>
  <si>
    <t>社内人数計</t>
    <rPh sb="0" eb="2">
      <t>シャナイ</t>
    </rPh>
    <rPh sb="2" eb="4">
      <t>ニンズウ</t>
    </rPh>
    <rPh sb="4" eb="5">
      <t>ケイ</t>
    </rPh>
    <phoneticPr fontId="2"/>
  </si>
  <si>
    <t>総人員数</t>
    <rPh sb="0" eb="1">
      <t>ソウ</t>
    </rPh>
    <rPh sb="1" eb="3">
      <t>ジンイン</t>
    </rPh>
    <rPh sb="3" eb="4">
      <t>スウ</t>
    </rPh>
    <phoneticPr fontId="2"/>
  </si>
  <si>
    <t>合計金額</t>
    <rPh sb="0" eb="2">
      <t>ゴウケイ</t>
    </rPh>
    <rPh sb="2" eb="4">
      <t>キンガク</t>
    </rPh>
    <phoneticPr fontId="2"/>
  </si>
  <si>
    <t>仮払額</t>
    <rPh sb="0" eb="2">
      <t>カリバライ</t>
    </rPh>
    <rPh sb="2" eb="3">
      <t>ガク</t>
    </rPh>
    <phoneticPr fontId="2"/>
  </si>
  <si>
    <t>差引支給額</t>
    <rPh sb="0" eb="2">
      <t>サシヒキ</t>
    </rPh>
    <rPh sb="2" eb="4">
      <t>シキュウ</t>
    </rPh>
    <rPh sb="4" eb="5">
      <t>ガク</t>
    </rPh>
    <phoneticPr fontId="2"/>
  </si>
  <si>
    <t>精算合計表（自動読込）</t>
    <rPh sb="0" eb="2">
      <t>セイサン</t>
    </rPh>
    <rPh sb="2" eb="4">
      <t>ゴウケイ</t>
    </rPh>
    <rPh sb="4" eb="5">
      <t>ヒョウ</t>
    </rPh>
    <rPh sb="6" eb="8">
      <t>ジドウ</t>
    </rPh>
    <rPh sb="8" eb="9">
      <t>ヨ</t>
    </rPh>
    <rPh sb="9" eb="10">
      <t>コ</t>
    </rPh>
    <phoneticPr fontId="2"/>
  </si>
  <si>
    <t>※フライト発着時刻を24時間表記で記入</t>
    <rPh sb="5" eb="7">
      <t>ハッチャク</t>
    </rPh>
    <rPh sb="7" eb="9">
      <t>ジコク</t>
    </rPh>
    <rPh sb="12" eb="14">
      <t>ジカン</t>
    </rPh>
    <rPh sb="14" eb="16">
      <t>ヒョウキ</t>
    </rPh>
    <rPh sb="17" eb="19">
      <t>キニュウ</t>
    </rPh>
    <phoneticPr fontId="2"/>
  </si>
  <si>
    <t>円</t>
    <rPh sb="0" eb="1">
      <t>エン</t>
    </rPh>
    <phoneticPr fontId="2"/>
  </si>
  <si>
    <t>総務人事部長</t>
    <rPh sb="0" eb="2">
      <t>ソウム</t>
    </rPh>
    <rPh sb="2" eb="4">
      <t>ジンジ</t>
    </rPh>
    <rPh sb="4" eb="6">
      <t>ブチョウ</t>
    </rPh>
    <phoneticPr fontId="2"/>
  </si>
  <si>
    <t>渡航担当</t>
    <rPh sb="0" eb="2">
      <t>トコウ</t>
    </rPh>
    <rPh sb="2" eb="4">
      <t>タントウ</t>
    </rPh>
    <phoneticPr fontId="2"/>
  </si>
  <si>
    <t>部長</t>
    <rPh sb="0" eb="2">
      <t>ブチョウ</t>
    </rPh>
    <phoneticPr fontId="2"/>
  </si>
  <si>
    <t>税コード</t>
    <rPh sb="0" eb="1">
      <t>ゼイ</t>
    </rPh>
    <phoneticPr fontId="2"/>
  </si>
  <si>
    <t>V2</t>
    <phoneticPr fontId="2"/>
  </si>
  <si>
    <t>合計</t>
    <rPh sb="0" eb="2">
      <t>ゴウケイ</t>
    </rPh>
    <phoneticPr fontId="2"/>
  </si>
  <si>
    <t>国内空港施設使用料、手荷物宅配料、T.C.購入手数料、など（消費税課税）</t>
    <phoneticPr fontId="2"/>
  </si>
  <si>
    <t>タクシー利用の場合には領収書を添付ください（領収書なき場合には責任領収書を作成して添付ください）</t>
    <rPh sb="22" eb="25">
      <t>リョウシュウショ</t>
    </rPh>
    <rPh sb="27" eb="29">
      <t>バアイ</t>
    </rPh>
    <rPh sb="31" eb="33">
      <t>セキニン</t>
    </rPh>
    <rPh sb="33" eb="36">
      <t>リョウシュウショ</t>
    </rPh>
    <rPh sb="37" eb="39">
      <t>サクセイ</t>
    </rPh>
    <rPh sb="41" eb="43">
      <t>テンプ</t>
    </rPh>
    <phoneticPr fontId="2"/>
  </si>
  <si>
    <t>国内で手配し海外で使用するルータ等費用（消費税不課税の内容）はこちら</t>
    <rPh sb="27" eb="29">
      <t>ナイヨウ</t>
    </rPh>
    <phoneticPr fontId="2"/>
  </si>
  <si>
    <t>国内通話料、海外使用ルータに関して国内で発生する保証料・手数料等（消費税課税の内容）はこちら</t>
    <rPh sb="39" eb="41">
      <t>ナイヨウ</t>
    </rPh>
    <phoneticPr fontId="2"/>
  </si>
  <si>
    <t>入力担当者確認</t>
    <rPh sb="0" eb="2">
      <t>ニュウリョク</t>
    </rPh>
    <rPh sb="2" eb="5">
      <t>タントウシャ</t>
    </rPh>
    <rPh sb="5" eb="7">
      <t>カクニン</t>
    </rPh>
    <phoneticPr fontId="2"/>
  </si>
  <si>
    <t>レート
（外貨1＝JPY）</t>
    <rPh sb="5" eb="7">
      <t>ガイカ</t>
    </rPh>
    <phoneticPr fontId="2"/>
  </si>
  <si>
    <t>JPYとの交換時の証票を添付し、下記レート表Noを証票に記入してください</t>
    <rPh sb="16" eb="18">
      <t>カキ</t>
    </rPh>
    <rPh sb="21" eb="22">
      <t>ヒョウ</t>
    </rPh>
    <rPh sb="25" eb="27">
      <t>ショウヒョウ</t>
    </rPh>
    <rPh sb="28" eb="30">
      <t>キニュウ</t>
    </rPh>
    <phoneticPr fontId="2"/>
  </si>
  <si>
    <t>外貨金額</t>
    <rPh sb="0" eb="2">
      <t>ガイカ</t>
    </rPh>
    <rPh sb="2" eb="3">
      <t>キン</t>
    </rPh>
    <rPh sb="3" eb="4">
      <t>ガク</t>
    </rPh>
    <phoneticPr fontId="2"/>
  </si>
  <si>
    <t>通貨（読込）</t>
    <rPh sb="0" eb="2">
      <t>ツウカ</t>
    </rPh>
    <rPh sb="3" eb="5">
      <t>ヨミコミ</t>
    </rPh>
    <phoneticPr fontId="2"/>
  </si>
  <si>
    <t>レート
（読込）</t>
    <rPh sb="5" eb="6">
      <t>ヨ</t>
    </rPh>
    <rPh sb="6" eb="7">
      <t>コ</t>
    </rPh>
    <phoneticPr fontId="2"/>
  </si>
  <si>
    <t>レート（読込）</t>
    <rPh sb="4" eb="6">
      <t>ヨミコミ</t>
    </rPh>
    <phoneticPr fontId="2"/>
  </si>
  <si>
    <t>領収書・明細書を添付してください。</t>
    <rPh sb="0" eb="3">
      <t>リョウシュウショ</t>
    </rPh>
    <rPh sb="4" eb="7">
      <t>メイサイショ</t>
    </rPh>
    <rPh sb="8" eb="10">
      <t>テンプ</t>
    </rPh>
    <phoneticPr fontId="2"/>
  </si>
  <si>
    <t>韓国のホテルに宿泊しクレジットカードで支払った場合、ホテルインボイスに加えてクレジットカード利用控原本を添付してください（VAT還付を受けることができます）</t>
    <phoneticPr fontId="2"/>
  </si>
  <si>
    <t>DTAに宿泊した際の管理費は、出張精算には含まれません</t>
    <rPh sb="4" eb="6">
      <t>シュクハク</t>
    </rPh>
    <rPh sb="8" eb="9">
      <t>サイ</t>
    </rPh>
    <rPh sb="10" eb="13">
      <t>カンリヒ</t>
    </rPh>
    <rPh sb="15" eb="17">
      <t>シュッチョウ</t>
    </rPh>
    <rPh sb="17" eb="19">
      <t>セイサン</t>
    </rPh>
    <rPh sb="21" eb="22">
      <t>フク</t>
    </rPh>
    <phoneticPr fontId="2"/>
  </si>
  <si>
    <t>海外交通費</t>
    <rPh sb="0" eb="2">
      <t>カイガイ</t>
    </rPh>
    <rPh sb="2" eb="4">
      <t>コウツウ</t>
    </rPh>
    <rPh sb="4" eb="5">
      <t>ヒ</t>
    </rPh>
    <phoneticPr fontId="2"/>
  </si>
  <si>
    <t>海外宿泊費</t>
    <rPh sb="0" eb="2">
      <t>カイガイ</t>
    </rPh>
    <rPh sb="2" eb="5">
      <t>シュクハクヒ</t>
    </rPh>
    <phoneticPr fontId="2"/>
  </si>
  <si>
    <t>海外雑費</t>
    <rPh sb="0" eb="2">
      <t>カイガイ</t>
    </rPh>
    <rPh sb="2" eb="4">
      <t>ザッピ</t>
    </rPh>
    <phoneticPr fontId="2"/>
  </si>
  <si>
    <t>海外通信費</t>
    <rPh sb="0" eb="2">
      <t>カイガイ</t>
    </rPh>
    <rPh sb="2" eb="5">
      <t>ツウシンヒ</t>
    </rPh>
    <phoneticPr fontId="2"/>
  </si>
  <si>
    <t>国内交通費</t>
    <rPh sb="0" eb="2">
      <t>コクナイ</t>
    </rPh>
    <rPh sb="2" eb="4">
      <t>コウツウ</t>
    </rPh>
    <rPh sb="4" eb="5">
      <t>ヒ</t>
    </rPh>
    <phoneticPr fontId="2"/>
  </si>
  <si>
    <t>国内雑費</t>
    <rPh sb="0" eb="2">
      <t>コクナイ</t>
    </rPh>
    <rPh sb="2" eb="4">
      <t>ザッピ</t>
    </rPh>
    <phoneticPr fontId="2"/>
  </si>
  <si>
    <t>国内通信費</t>
    <rPh sb="0" eb="2">
      <t>コクナイ</t>
    </rPh>
    <rPh sb="2" eb="5">
      <t>ツウシンヒ</t>
    </rPh>
    <phoneticPr fontId="2"/>
  </si>
  <si>
    <t>A：出張日当</t>
    <rPh sb="2" eb="4">
      <t>シュッチョウ</t>
    </rPh>
    <rPh sb="4" eb="6">
      <t>ニットウ</t>
    </rPh>
    <phoneticPr fontId="2"/>
  </si>
  <si>
    <t>A：</t>
    <phoneticPr fontId="2"/>
  </si>
  <si>
    <t>B：海外交通費</t>
    <rPh sb="2" eb="4">
      <t>カイガイ</t>
    </rPh>
    <rPh sb="4" eb="6">
      <t>コウツウ</t>
    </rPh>
    <rPh sb="6" eb="7">
      <t>ヒ</t>
    </rPh>
    <phoneticPr fontId="2"/>
  </si>
  <si>
    <t>B：</t>
    <phoneticPr fontId="2"/>
  </si>
  <si>
    <t>C：海外宿泊費</t>
    <rPh sb="2" eb="4">
      <t>カイガイ</t>
    </rPh>
    <rPh sb="4" eb="7">
      <t>シュクハクヒ</t>
    </rPh>
    <phoneticPr fontId="2"/>
  </si>
  <si>
    <t>D：海外雑費</t>
    <rPh sb="2" eb="4">
      <t>カイガイ</t>
    </rPh>
    <rPh sb="4" eb="6">
      <t>ザッピ</t>
    </rPh>
    <phoneticPr fontId="2"/>
  </si>
  <si>
    <t>C：</t>
    <phoneticPr fontId="2"/>
  </si>
  <si>
    <t>D：</t>
    <phoneticPr fontId="2"/>
  </si>
  <si>
    <t>E：海外通信費</t>
    <rPh sb="2" eb="4">
      <t>カイガイ</t>
    </rPh>
    <rPh sb="4" eb="7">
      <t>ツウシンヒ</t>
    </rPh>
    <phoneticPr fontId="2"/>
  </si>
  <si>
    <t>E：</t>
    <phoneticPr fontId="2"/>
  </si>
  <si>
    <t>F：</t>
    <phoneticPr fontId="2"/>
  </si>
  <si>
    <t>G：</t>
    <phoneticPr fontId="2"/>
  </si>
  <si>
    <t>海外出張旅費精算明細書【海外立替分】</t>
    <rPh sb="0" eb="2">
      <t>カイガイ</t>
    </rPh>
    <rPh sb="2" eb="4">
      <t>シュッチョウ</t>
    </rPh>
    <rPh sb="4" eb="6">
      <t>リョヒ</t>
    </rPh>
    <rPh sb="6" eb="8">
      <t>セイサン</t>
    </rPh>
    <rPh sb="8" eb="10">
      <t>メイサイ</t>
    </rPh>
    <rPh sb="10" eb="11">
      <t>ショ</t>
    </rPh>
    <rPh sb="12" eb="14">
      <t>カイガイ</t>
    </rPh>
    <rPh sb="14" eb="16">
      <t>タテカエ</t>
    </rPh>
    <rPh sb="16" eb="17">
      <t>ブン</t>
    </rPh>
    <phoneticPr fontId="2"/>
  </si>
  <si>
    <t>海外出張旅費精算明細書【出張日当】</t>
    <rPh sb="0" eb="2">
      <t>カイガイ</t>
    </rPh>
    <rPh sb="2" eb="4">
      <t>シュッチョウ</t>
    </rPh>
    <rPh sb="4" eb="6">
      <t>リョヒ</t>
    </rPh>
    <rPh sb="6" eb="8">
      <t>セイサン</t>
    </rPh>
    <rPh sb="8" eb="10">
      <t>メイサイ</t>
    </rPh>
    <rPh sb="10" eb="11">
      <t>ショ</t>
    </rPh>
    <rPh sb="12" eb="14">
      <t>シュッチョウ</t>
    </rPh>
    <rPh sb="14" eb="16">
      <t>ニットウ</t>
    </rPh>
    <phoneticPr fontId="2"/>
  </si>
  <si>
    <t>海外出張旅費精算明細書【国内立替分】</t>
    <rPh sb="0" eb="2">
      <t>カイガイ</t>
    </rPh>
    <rPh sb="2" eb="4">
      <t>シュッチョウ</t>
    </rPh>
    <rPh sb="4" eb="6">
      <t>リョヒ</t>
    </rPh>
    <rPh sb="6" eb="8">
      <t>セイサン</t>
    </rPh>
    <rPh sb="8" eb="10">
      <t>メイサイ</t>
    </rPh>
    <rPh sb="10" eb="11">
      <t>ショ</t>
    </rPh>
    <rPh sb="12" eb="14">
      <t>コクナイ</t>
    </rPh>
    <rPh sb="14" eb="16">
      <t>タテカエ</t>
    </rPh>
    <rPh sb="16" eb="17">
      <t>ブン</t>
    </rPh>
    <phoneticPr fontId="2"/>
  </si>
  <si>
    <t>H：</t>
    <phoneticPr fontId="2"/>
  </si>
  <si>
    <t>I：</t>
    <phoneticPr fontId="2"/>
  </si>
  <si>
    <t>J：</t>
    <phoneticPr fontId="2"/>
  </si>
  <si>
    <t>区間（至）</t>
    <rPh sb="0" eb="2">
      <t>クカン</t>
    </rPh>
    <rPh sb="3" eb="4">
      <t>イタル</t>
    </rPh>
    <phoneticPr fontId="2"/>
  </si>
  <si>
    <t>入力担当</t>
    <rPh sb="0" eb="2">
      <t>ニュウリョク</t>
    </rPh>
    <rPh sb="2" eb="4">
      <t>タントウ</t>
    </rPh>
    <phoneticPr fontId="2"/>
  </si>
  <si>
    <t>海外分</t>
    <rPh sb="0" eb="2">
      <t>カイガイ</t>
    </rPh>
    <rPh sb="2" eb="3">
      <t>ブン</t>
    </rPh>
    <phoneticPr fontId="2"/>
  </si>
  <si>
    <t>国内分</t>
    <rPh sb="0" eb="2">
      <t>コクナイ</t>
    </rPh>
    <rPh sb="2" eb="3">
      <t>ブン</t>
    </rPh>
    <phoneticPr fontId="2"/>
  </si>
  <si>
    <t>（※入力担当記入）</t>
    <rPh sb="2" eb="4">
      <t>ニュウリョク</t>
    </rPh>
    <rPh sb="4" eb="6">
      <t>タントウ</t>
    </rPh>
    <rPh sb="6" eb="8">
      <t>キニュウ</t>
    </rPh>
    <phoneticPr fontId="2"/>
  </si>
  <si>
    <t>伝票No.</t>
    <rPh sb="0" eb="2">
      <t>デンピョウ</t>
    </rPh>
    <phoneticPr fontId="2"/>
  </si>
  <si>
    <t>参照No.</t>
    <rPh sb="0" eb="2">
      <t>サンショウ</t>
    </rPh>
    <phoneticPr fontId="2"/>
  </si>
  <si>
    <t>課長</t>
    <rPh sb="0" eb="2">
      <t>カチョウ</t>
    </rPh>
    <phoneticPr fontId="2"/>
  </si>
  <si>
    <t>帰国日（フライト着）が休日の午前の場合には休日移動加算を支給</t>
    <rPh sb="0" eb="3">
      <t>キコクビ</t>
    </rPh>
    <rPh sb="8" eb="9">
      <t>チャク</t>
    </rPh>
    <rPh sb="11" eb="13">
      <t>キュウジツ</t>
    </rPh>
    <rPh sb="14" eb="16">
      <t>ゴゼン</t>
    </rPh>
    <rPh sb="17" eb="19">
      <t>バアイ</t>
    </rPh>
    <rPh sb="21" eb="23">
      <t>キュウジツ</t>
    </rPh>
    <rPh sb="23" eb="25">
      <t>イドウ</t>
    </rPh>
    <rPh sb="25" eb="27">
      <t>カサン</t>
    </rPh>
    <rPh sb="28" eb="30">
      <t>シキュウ</t>
    </rPh>
    <phoneticPr fontId="2"/>
  </si>
  <si>
    <t>海外空港施設使用料、外貨交換時の手数料、ESTA電子渡航認証費用、など（消費税不課税）</t>
    <rPh sb="36" eb="39">
      <t>ショウヒゼイ</t>
    </rPh>
    <rPh sb="39" eb="40">
      <t>フ</t>
    </rPh>
    <rPh sb="40" eb="42">
      <t>カゼイ</t>
    </rPh>
    <phoneticPr fontId="2"/>
  </si>
  <si>
    <t>入力承認</t>
    <rPh sb="0" eb="2">
      <t>ニュウリョク</t>
    </rPh>
    <rPh sb="2" eb="4">
      <t>ショウニン</t>
    </rPh>
    <phoneticPr fontId="2"/>
  </si>
  <si>
    <t>区間（自）</t>
    <rPh sb="0" eb="2">
      <t>クカン</t>
    </rPh>
    <rPh sb="3" eb="4">
      <t>ジ</t>
    </rPh>
    <phoneticPr fontId="2"/>
  </si>
  <si>
    <t>V1</t>
    <phoneticPr fontId="2"/>
  </si>
  <si>
    <t>国内空港施設使用料は「I：国内雑費」に、海外空港施設使用料は「D：海外雑費」に記入</t>
    <phoneticPr fontId="2"/>
  </si>
  <si>
    <t>海外での社内関係者のみの飲食代（金額不問）</t>
  </si>
  <si>
    <t>属性</t>
    <rPh sb="0" eb="2">
      <t>ゾクセイ</t>
    </rPh>
    <phoneticPr fontId="2"/>
  </si>
  <si>
    <t>レート表No.選択</t>
    <rPh sb="3" eb="4">
      <t>ヒョウ</t>
    </rPh>
    <rPh sb="7" eb="9">
      <t>センタク</t>
    </rPh>
    <phoneticPr fontId="2"/>
  </si>
  <si>
    <t>相手先職氏名</t>
    <rPh sb="0" eb="3">
      <t>アイテサキ</t>
    </rPh>
    <rPh sb="3" eb="4">
      <t>ショク</t>
    </rPh>
    <rPh sb="4" eb="6">
      <t>シメイ</t>
    </rPh>
    <phoneticPr fontId="2"/>
  </si>
  <si>
    <t>集計用（読込）</t>
    <rPh sb="0" eb="3">
      <t>シュウケイヨウ</t>
    </rPh>
    <rPh sb="4" eb="6">
      <t>ヨミコミ</t>
    </rPh>
    <phoneticPr fontId="2"/>
  </si>
  <si>
    <t>73900会議費（一般）</t>
    <rPh sb="5" eb="8">
      <t>カイギヒ</t>
    </rPh>
    <rPh sb="9" eb="11">
      <t>イッパン</t>
    </rPh>
    <phoneticPr fontId="2"/>
  </si>
  <si>
    <t>72300交際費（一般）</t>
    <rPh sb="5" eb="7">
      <t>コウサイ</t>
    </rPh>
    <rPh sb="7" eb="8">
      <t>ヒ</t>
    </rPh>
    <rPh sb="9" eb="11">
      <t>イッパン</t>
    </rPh>
    <phoneticPr fontId="2"/>
  </si>
  <si>
    <t>F：海外交際費・会議費</t>
    <rPh sb="2" eb="4">
      <t>カイガイ</t>
    </rPh>
    <rPh sb="4" eb="6">
      <t>コウサイ</t>
    </rPh>
    <rPh sb="6" eb="7">
      <t>ヒ</t>
    </rPh>
    <rPh sb="8" eb="11">
      <t>カイギヒ</t>
    </rPh>
    <phoneticPr fontId="2"/>
  </si>
  <si>
    <t>海外交際費・会議費</t>
    <rPh sb="0" eb="2">
      <t>カイガイ</t>
    </rPh>
    <rPh sb="2" eb="4">
      <t>コウサイ</t>
    </rPh>
    <rPh sb="4" eb="5">
      <t>ヒ</t>
    </rPh>
    <rPh sb="6" eb="9">
      <t>カイギヒ</t>
    </rPh>
    <phoneticPr fontId="2"/>
  </si>
  <si>
    <t>海外での飲食接待以外の交際費（手土産等）</t>
    <phoneticPr fontId="2"/>
  </si>
  <si>
    <t>国内での飲食接待以外の交際費（手土産等）【非課税】</t>
    <rPh sb="0" eb="2">
      <t>コクナイ</t>
    </rPh>
    <rPh sb="4" eb="6">
      <t>インショク</t>
    </rPh>
    <rPh sb="6" eb="8">
      <t>セッタイ</t>
    </rPh>
    <rPh sb="8" eb="10">
      <t>イガイ</t>
    </rPh>
    <rPh sb="11" eb="13">
      <t>コウサイ</t>
    </rPh>
    <rPh sb="13" eb="14">
      <t>ヒ</t>
    </rPh>
    <rPh sb="15" eb="18">
      <t>テミヤゲ</t>
    </rPh>
    <rPh sb="18" eb="19">
      <t>トウ</t>
    </rPh>
    <rPh sb="21" eb="22">
      <t>ヒ</t>
    </rPh>
    <rPh sb="22" eb="24">
      <t>カゼイ</t>
    </rPh>
    <phoneticPr fontId="2"/>
  </si>
  <si>
    <t>（選択してください）</t>
    <rPh sb="1" eb="3">
      <t>センタク</t>
    </rPh>
    <phoneticPr fontId="2"/>
  </si>
  <si>
    <t>海外分小計</t>
    <rPh sb="0" eb="2">
      <t>カイガイ</t>
    </rPh>
    <rPh sb="2" eb="3">
      <t>ブン</t>
    </rPh>
    <rPh sb="3" eb="5">
      <t>ショウケイ</t>
    </rPh>
    <phoneticPr fontId="2"/>
  </si>
  <si>
    <t>国内交際費・会議費</t>
    <rPh sb="0" eb="2">
      <t>コクナイ</t>
    </rPh>
    <rPh sb="2" eb="4">
      <t>コウサイ</t>
    </rPh>
    <rPh sb="4" eb="5">
      <t>ヒ</t>
    </rPh>
    <rPh sb="6" eb="9">
      <t>カイギヒ</t>
    </rPh>
    <phoneticPr fontId="2"/>
  </si>
  <si>
    <t>国内分小計</t>
    <rPh sb="0" eb="2">
      <t>コクナイ</t>
    </rPh>
    <rPh sb="2" eb="3">
      <t>ブン</t>
    </rPh>
    <rPh sb="3" eb="5">
      <t>ショウケイ</t>
    </rPh>
    <phoneticPr fontId="2"/>
  </si>
  <si>
    <t>円</t>
    <rPh sb="0" eb="1">
      <t>エン</t>
    </rPh>
    <phoneticPr fontId="2"/>
  </si>
  <si>
    <t>72020通信費（国内電話・ネットワーク）</t>
    <rPh sb="5" eb="8">
      <t>ツウシンヒ</t>
    </rPh>
    <rPh sb="9" eb="11">
      <t>コクナイ</t>
    </rPh>
    <rPh sb="11" eb="13">
      <t>デンワ</t>
    </rPh>
    <phoneticPr fontId="2"/>
  </si>
  <si>
    <t>明細コード・費目</t>
    <rPh sb="0" eb="2">
      <t>メイサイ</t>
    </rPh>
    <rPh sb="6" eb="8">
      <t>ヒモク</t>
    </rPh>
    <phoneticPr fontId="2"/>
  </si>
  <si>
    <t>71610旅費交通費（海外出張）</t>
    <rPh sb="5" eb="7">
      <t>リョヒ</t>
    </rPh>
    <rPh sb="7" eb="10">
      <t>コウツウヒ</t>
    </rPh>
    <rPh sb="11" eb="13">
      <t>カイガイ</t>
    </rPh>
    <rPh sb="13" eb="15">
      <t>シュッチョウ</t>
    </rPh>
    <phoneticPr fontId="2"/>
  </si>
  <si>
    <t>71620旅費交通費（国内出張）</t>
    <rPh sb="5" eb="7">
      <t>リョヒ</t>
    </rPh>
    <rPh sb="7" eb="10">
      <t>コウツウヒ</t>
    </rPh>
    <rPh sb="11" eb="13">
      <t>コクナイ</t>
    </rPh>
    <rPh sb="13" eb="15">
      <t>シュッチョウ</t>
    </rPh>
    <phoneticPr fontId="2"/>
  </si>
  <si>
    <t>72010通信費（国際電話・ネットワーク）</t>
    <rPh sb="5" eb="8">
      <t>ツウシンヒ</t>
    </rPh>
    <rPh sb="9" eb="11">
      <t>コクサイ</t>
    </rPh>
    <rPh sb="11" eb="13">
      <t>デンワ</t>
    </rPh>
    <phoneticPr fontId="2"/>
  </si>
  <si>
    <t>勘定科目</t>
    <rPh sb="0" eb="2">
      <t>カンジョウ</t>
    </rPh>
    <rPh sb="2" eb="4">
      <t>カモク</t>
    </rPh>
    <phoneticPr fontId="2"/>
  </si>
  <si>
    <t>G：国内交通費</t>
    <rPh sb="2" eb="4">
      <t>コクナイ</t>
    </rPh>
    <rPh sb="4" eb="6">
      <t>コウツウ</t>
    </rPh>
    <rPh sb="6" eb="7">
      <t>ヒ</t>
    </rPh>
    <phoneticPr fontId="2"/>
  </si>
  <si>
    <t>H：国内雑費</t>
    <rPh sb="2" eb="4">
      <t>コクナイ</t>
    </rPh>
    <rPh sb="4" eb="6">
      <t>ザッピ</t>
    </rPh>
    <phoneticPr fontId="2"/>
  </si>
  <si>
    <t>I：国内通信費</t>
    <rPh sb="2" eb="4">
      <t>コクナイ</t>
    </rPh>
    <rPh sb="4" eb="7">
      <t>ツウシンヒ</t>
    </rPh>
    <phoneticPr fontId="2"/>
  </si>
  <si>
    <t>J：国内交際費・会議費</t>
    <rPh sb="2" eb="4">
      <t>コクナイ</t>
    </rPh>
    <rPh sb="4" eb="6">
      <t>コウサイ</t>
    </rPh>
    <rPh sb="6" eb="7">
      <t>ヒ</t>
    </rPh>
    <rPh sb="8" eb="11">
      <t>カイギヒ</t>
    </rPh>
    <phoneticPr fontId="2"/>
  </si>
  <si>
    <t>交際費・会議費合計</t>
    <rPh sb="0" eb="2">
      <t>コウサイ</t>
    </rPh>
    <rPh sb="2" eb="3">
      <t>ヒ</t>
    </rPh>
    <rPh sb="4" eb="7">
      <t>カイギヒ</t>
    </rPh>
    <rPh sb="7" eb="9">
      <t>ゴウケイ</t>
    </rPh>
    <phoneticPr fontId="2"/>
  </si>
  <si>
    <t>会社</t>
    <rPh sb="0" eb="2">
      <t>カイシャ</t>
    </rPh>
    <phoneticPr fontId="2"/>
  </si>
  <si>
    <t>海外での会議費用（一人5000円以下の飲食代）</t>
    <rPh sb="16" eb="18">
      <t>イカ</t>
    </rPh>
    <phoneticPr fontId="2"/>
  </si>
  <si>
    <t>海外での飲食接待費（一人5000円超の飲食代）</t>
    <rPh sb="17" eb="18">
      <t>チョウ</t>
    </rPh>
    <phoneticPr fontId="2"/>
  </si>
  <si>
    <t>領収書・明細書を添付してください。</t>
    <phoneticPr fontId="2"/>
  </si>
  <si>
    <t>（例）</t>
    <rPh sb="1" eb="2">
      <t>レイ</t>
    </rPh>
    <phoneticPr fontId="2"/>
  </si>
  <si>
    <t>HKD</t>
    <phoneticPr fontId="2"/>
  </si>
  <si>
    <t>-</t>
    <phoneticPr fontId="2"/>
  </si>
  <si>
    <t>73900会議費（一般）V2</t>
    <rPh sb="5" eb="8">
      <t>カイギヒ</t>
    </rPh>
    <rPh sb="9" eb="11">
      <t>イッパン</t>
    </rPh>
    <phoneticPr fontId="2"/>
  </si>
  <si>
    <t>72300交際費（一般）V2</t>
    <rPh sb="5" eb="7">
      <t>コウサイ</t>
    </rPh>
    <rPh sb="7" eb="8">
      <t>ヒ</t>
    </rPh>
    <rPh sb="9" eb="11">
      <t>イッパン</t>
    </rPh>
    <phoneticPr fontId="2"/>
  </si>
  <si>
    <t>72300交際費（一般）V1</t>
    <rPh sb="5" eb="7">
      <t>コウサイ</t>
    </rPh>
    <rPh sb="7" eb="8">
      <t>ヒ</t>
    </rPh>
    <rPh sb="9" eb="11">
      <t>イッパン</t>
    </rPh>
    <phoneticPr fontId="2"/>
  </si>
  <si>
    <t>73900V2</t>
    <phoneticPr fontId="2"/>
  </si>
  <si>
    <t>72300V2</t>
    <phoneticPr fontId="2"/>
  </si>
  <si>
    <t>72300V1</t>
    <phoneticPr fontId="2"/>
  </si>
  <si>
    <t>原則として帰国後1週間以内に精算してください。</t>
    <rPh sb="0" eb="2">
      <t>ゲンソク</t>
    </rPh>
    <phoneticPr fontId="2"/>
  </si>
  <si>
    <t>JPYで決済した場合には、1頁目の換算レート表に「通貨単位：JPY」「レート：1」と入力設定し、当該レート表No.を選択して記入ください。</t>
    <rPh sb="44" eb="46">
      <t>セッテイ</t>
    </rPh>
    <rPh sb="48" eb="50">
      <t>トウガイ</t>
    </rPh>
    <rPh sb="62" eb="64">
      <t>キニュウ</t>
    </rPh>
    <phoneticPr fontId="2"/>
  </si>
  <si>
    <t>科目・税（読込）</t>
    <rPh sb="0" eb="2">
      <t>カモク</t>
    </rPh>
    <rPh sb="3" eb="4">
      <t>ゼイ</t>
    </rPh>
    <rPh sb="5" eb="7">
      <t>ヨミコミ</t>
    </rPh>
    <phoneticPr fontId="2"/>
  </si>
  <si>
    <t>-</t>
    <phoneticPr fontId="2"/>
  </si>
  <si>
    <t>（※渡航担当記入）</t>
    <rPh sb="2" eb="4">
      <t>トコウ</t>
    </rPh>
    <rPh sb="4" eb="6">
      <t>タントウ</t>
    </rPh>
    <rPh sb="6" eb="8">
      <t>キニュウ</t>
    </rPh>
    <phoneticPr fontId="2"/>
  </si>
  <si>
    <t>命令書No.</t>
    <rPh sb="0" eb="3">
      <t>メイレイショ</t>
    </rPh>
    <phoneticPr fontId="2"/>
  </si>
  <si>
    <t>換算レート表は、外貨購入第一番目の実勢レートを使用。
小数点第4位まで算出してください（小数点第5位で四捨五入）。
左欄のレート入力セルは、小数点第4位までのみ入力できるよう設定されています（小数点第5位以下は入力不可）。
JPYに換算時は小数点第1位で四捨五入し整数化する計算式が実装されています。
レート表を紛失したり、両替を行わなかった等でレート表がない場合には、同行者のレート表コピーを添付するか、自身で出国日のレート表を検索して添付し、換算してください。
海外においてJPY決済した立替金がある場合には、「通貨単位：JPY」「レート：1」と入力設定し、明細書において当該レート表No.を選択して精算ください。</t>
    <rPh sb="0" eb="2">
      <t>カンサン</t>
    </rPh>
    <rPh sb="5" eb="6">
      <t>ヒョウ</t>
    </rPh>
    <rPh sb="8" eb="10">
      <t>ガイカ</t>
    </rPh>
    <rPh sb="10" eb="12">
      <t>コウニュウ</t>
    </rPh>
    <rPh sb="12" eb="13">
      <t>ダイ</t>
    </rPh>
    <rPh sb="13" eb="16">
      <t>イチバンメ</t>
    </rPh>
    <rPh sb="17" eb="19">
      <t>ジッセイ</t>
    </rPh>
    <rPh sb="23" eb="25">
      <t>シヨウ</t>
    </rPh>
    <rPh sb="27" eb="30">
      <t>ショウスウテン</t>
    </rPh>
    <rPh sb="30" eb="31">
      <t>ダイ</t>
    </rPh>
    <rPh sb="32" eb="33">
      <t>イ</t>
    </rPh>
    <rPh sb="35" eb="37">
      <t>サンシュツ</t>
    </rPh>
    <rPh sb="44" eb="47">
      <t>ショウスウテン</t>
    </rPh>
    <rPh sb="47" eb="48">
      <t>ダイ</t>
    </rPh>
    <rPh sb="49" eb="50">
      <t>イ</t>
    </rPh>
    <rPh sb="51" eb="55">
      <t>シシャゴニュウ</t>
    </rPh>
    <rPh sb="58" eb="59">
      <t>サ</t>
    </rPh>
    <rPh sb="59" eb="60">
      <t>ラン</t>
    </rPh>
    <rPh sb="64" eb="66">
      <t>ニュウリョク</t>
    </rPh>
    <rPh sb="87" eb="89">
      <t>セッテイ</t>
    </rPh>
    <rPh sb="102" eb="104">
      <t>イカ</t>
    </rPh>
    <rPh sb="117" eb="119">
      <t>カンサン</t>
    </rPh>
    <rPh sb="119" eb="120">
      <t>ジ</t>
    </rPh>
    <rPh sb="121" eb="124">
      <t>ショウスウテン</t>
    </rPh>
    <rPh sb="124" eb="125">
      <t>ダイ</t>
    </rPh>
    <rPh sb="126" eb="127">
      <t>イ</t>
    </rPh>
    <rPh sb="128" eb="132">
      <t>シシャゴニュウ</t>
    </rPh>
    <rPh sb="133" eb="135">
      <t>セイスウ</t>
    </rPh>
    <rPh sb="135" eb="136">
      <t>カ</t>
    </rPh>
    <rPh sb="138" eb="140">
      <t>ケイサン</t>
    </rPh>
    <rPh sb="140" eb="141">
      <t>シキ</t>
    </rPh>
    <rPh sb="142" eb="144">
      <t>ジッソウ</t>
    </rPh>
    <rPh sb="156" eb="157">
      <t>ヒョウ</t>
    </rPh>
    <rPh sb="158" eb="160">
      <t>フンシツ</t>
    </rPh>
    <rPh sb="164" eb="166">
      <t>リョウガエ</t>
    </rPh>
    <rPh sb="167" eb="168">
      <t>オコナ</t>
    </rPh>
    <rPh sb="173" eb="174">
      <t>トウ</t>
    </rPh>
    <rPh sb="178" eb="179">
      <t>ヒョウ</t>
    </rPh>
    <rPh sb="182" eb="184">
      <t>バアイ</t>
    </rPh>
    <rPh sb="187" eb="190">
      <t>ドウコウシャ</t>
    </rPh>
    <rPh sb="194" eb="195">
      <t>ヒョウ</t>
    </rPh>
    <rPh sb="199" eb="201">
      <t>テンプ</t>
    </rPh>
    <rPh sb="205" eb="207">
      <t>ジシン</t>
    </rPh>
    <rPh sb="208" eb="210">
      <t>シュッコク</t>
    </rPh>
    <rPh sb="210" eb="211">
      <t>ビ</t>
    </rPh>
    <rPh sb="215" eb="216">
      <t>ヒョウ</t>
    </rPh>
    <rPh sb="217" eb="219">
      <t>ケンサク</t>
    </rPh>
    <rPh sb="221" eb="223">
      <t>テンプ</t>
    </rPh>
    <rPh sb="225" eb="227">
      <t>カンサン</t>
    </rPh>
    <rPh sb="236" eb="238">
      <t>カイガイ</t>
    </rPh>
    <rPh sb="284" eb="287">
      <t>メイサイショ</t>
    </rPh>
    <rPh sb="305" eb="307">
      <t>セイサン</t>
    </rPh>
    <phoneticPr fontId="2"/>
  </si>
  <si>
    <t>73900会議費（一般）VJ</t>
    <rPh sb="5" eb="8">
      <t>カイギヒ</t>
    </rPh>
    <rPh sb="9" eb="11">
      <t>イッパン</t>
    </rPh>
    <phoneticPr fontId="2"/>
  </si>
  <si>
    <t>73900会議費（一般）VH</t>
    <rPh sb="5" eb="8">
      <t>カイギヒ</t>
    </rPh>
    <rPh sb="9" eb="11">
      <t>イッパン</t>
    </rPh>
    <phoneticPr fontId="2"/>
  </si>
  <si>
    <t>72300交際費（一般）VJ</t>
    <rPh sb="5" eb="7">
      <t>コウサイ</t>
    </rPh>
    <rPh sb="7" eb="8">
      <t>ヒ</t>
    </rPh>
    <rPh sb="9" eb="11">
      <t>イッパン</t>
    </rPh>
    <phoneticPr fontId="2"/>
  </si>
  <si>
    <t>72300交際費（一般）VH</t>
    <rPh sb="5" eb="7">
      <t>コウサイ</t>
    </rPh>
    <rPh sb="7" eb="8">
      <t>ヒ</t>
    </rPh>
    <rPh sb="9" eb="11">
      <t>イッパン</t>
    </rPh>
    <phoneticPr fontId="2"/>
  </si>
  <si>
    <t>73900VJ</t>
    <phoneticPr fontId="2"/>
  </si>
  <si>
    <t>73900VH</t>
    <phoneticPr fontId="2"/>
  </si>
  <si>
    <t>72300VJ</t>
    <phoneticPr fontId="2"/>
  </si>
  <si>
    <t>72300VH</t>
    <phoneticPr fontId="2"/>
  </si>
  <si>
    <t>72300VJ</t>
    <phoneticPr fontId="2"/>
  </si>
  <si>
    <t>国内での会議費用（一人5000円以下の飲食代）【10％】</t>
    <rPh sb="0" eb="2">
      <t>コクナイ</t>
    </rPh>
    <rPh sb="4" eb="7">
      <t>カイギヒ</t>
    </rPh>
    <rPh sb="7" eb="8">
      <t>ヨウ</t>
    </rPh>
    <rPh sb="9" eb="11">
      <t>ヒトリ</t>
    </rPh>
    <rPh sb="15" eb="16">
      <t>エン</t>
    </rPh>
    <rPh sb="16" eb="18">
      <t>イカ</t>
    </rPh>
    <rPh sb="19" eb="22">
      <t>インショクダイ</t>
    </rPh>
    <phoneticPr fontId="2"/>
  </si>
  <si>
    <t>国内での会議費用（一人5000円以下の飲食代）【8％】</t>
    <rPh sb="0" eb="2">
      <t>コクナイ</t>
    </rPh>
    <rPh sb="4" eb="7">
      <t>カイギヒ</t>
    </rPh>
    <rPh sb="7" eb="8">
      <t>ヨウ</t>
    </rPh>
    <rPh sb="9" eb="11">
      <t>ヒトリ</t>
    </rPh>
    <rPh sb="15" eb="16">
      <t>エン</t>
    </rPh>
    <rPh sb="16" eb="18">
      <t>イカ</t>
    </rPh>
    <rPh sb="19" eb="22">
      <t>インショクダイ</t>
    </rPh>
    <phoneticPr fontId="2"/>
  </si>
  <si>
    <t>国内での飲食接待費（一人5000円超の飲食代）【10％】</t>
    <rPh sb="0" eb="2">
      <t>コクナイ</t>
    </rPh>
    <rPh sb="4" eb="6">
      <t>インショク</t>
    </rPh>
    <rPh sb="6" eb="8">
      <t>セッタイ</t>
    </rPh>
    <rPh sb="8" eb="9">
      <t>ヒ</t>
    </rPh>
    <rPh sb="10" eb="12">
      <t>ヒトリ</t>
    </rPh>
    <rPh sb="16" eb="17">
      <t>エン</t>
    </rPh>
    <rPh sb="17" eb="18">
      <t>チョウ</t>
    </rPh>
    <rPh sb="19" eb="22">
      <t>インショクダイ</t>
    </rPh>
    <phoneticPr fontId="2"/>
  </si>
  <si>
    <t>国内での飲食接待費（一人5000円超の飲食代）【8％】</t>
    <rPh sb="0" eb="2">
      <t>コクナイ</t>
    </rPh>
    <rPh sb="4" eb="6">
      <t>インショク</t>
    </rPh>
    <rPh sb="6" eb="8">
      <t>セッタイ</t>
    </rPh>
    <rPh sb="8" eb="9">
      <t>ヒ</t>
    </rPh>
    <rPh sb="10" eb="12">
      <t>ヒトリ</t>
    </rPh>
    <rPh sb="16" eb="17">
      <t>エン</t>
    </rPh>
    <rPh sb="17" eb="18">
      <t>チョウ</t>
    </rPh>
    <rPh sb="19" eb="22">
      <t>インショクダイ</t>
    </rPh>
    <phoneticPr fontId="2"/>
  </si>
  <si>
    <t>国内での社内関係者のみの飲食代（金額不問）【10％】</t>
    <rPh sb="0" eb="2">
      <t>コクナイ</t>
    </rPh>
    <rPh sb="4" eb="6">
      <t>シャナイ</t>
    </rPh>
    <rPh sb="6" eb="9">
      <t>カンケイシャ</t>
    </rPh>
    <rPh sb="12" eb="15">
      <t>インショクダイ</t>
    </rPh>
    <rPh sb="16" eb="18">
      <t>キンガク</t>
    </rPh>
    <rPh sb="18" eb="20">
      <t>フモン</t>
    </rPh>
    <phoneticPr fontId="2"/>
  </si>
  <si>
    <t>国内での社内関係者のみの飲食代（金額不問）【8％】</t>
    <rPh sb="0" eb="2">
      <t>コクナイ</t>
    </rPh>
    <rPh sb="4" eb="6">
      <t>シャナイ</t>
    </rPh>
    <rPh sb="6" eb="9">
      <t>カンケイシャ</t>
    </rPh>
    <rPh sb="12" eb="15">
      <t>インショクダイ</t>
    </rPh>
    <rPh sb="16" eb="18">
      <t>キンガク</t>
    </rPh>
    <rPh sb="18" eb="20">
      <t>フモン</t>
    </rPh>
    <phoneticPr fontId="2"/>
  </si>
  <si>
    <t>国内での飲食接待以外の交際費（手土産等）【10％】</t>
    <rPh sb="0" eb="2">
      <t>コクナイ</t>
    </rPh>
    <rPh sb="4" eb="6">
      <t>インショク</t>
    </rPh>
    <rPh sb="6" eb="8">
      <t>セッタイ</t>
    </rPh>
    <rPh sb="8" eb="10">
      <t>イガイ</t>
    </rPh>
    <rPh sb="11" eb="13">
      <t>コウサイ</t>
    </rPh>
    <rPh sb="13" eb="14">
      <t>ヒ</t>
    </rPh>
    <rPh sb="15" eb="18">
      <t>テミヤゲ</t>
    </rPh>
    <rPh sb="18" eb="19">
      <t>トウ</t>
    </rPh>
    <phoneticPr fontId="2"/>
  </si>
  <si>
    <t>国内での飲食接待以外の交際費（手土産等）【8％】</t>
    <rPh sb="0" eb="2">
      <t>コクナイ</t>
    </rPh>
    <rPh sb="4" eb="6">
      <t>インショク</t>
    </rPh>
    <rPh sb="6" eb="8">
      <t>セッタイ</t>
    </rPh>
    <rPh sb="8" eb="10">
      <t>イガイ</t>
    </rPh>
    <rPh sb="11" eb="13">
      <t>コウサイ</t>
    </rPh>
    <rPh sb="13" eb="14">
      <t>ヒ</t>
    </rPh>
    <rPh sb="15" eb="18">
      <t>テミヤゲ</t>
    </rPh>
    <rPh sb="18" eb="19">
      <t>トウ</t>
    </rPh>
    <phoneticPr fontId="2"/>
  </si>
  <si>
    <t>VH</t>
    <phoneticPr fontId="2"/>
  </si>
  <si>
    <t>VJ</t>
    <phoneticPr fontId="2"/>
  </si>
  <si>
    <t>VJ</t>
    <phoneticPr fontId="2"/>
  </si>
  <si>
    <t>[2019/10/01～消費税率10％・軽減税率8％対応版]</t>
    <rPh sb="12" eb="15">
      <t>ショウヒゼイ</t>
    </rPh>
    <rPh sb="15" eb="16">
      <t>リツ</t>
    </rPh>
    <rPh sb="20" eb="24">
      <t>ケイゲンゼイリツ</t>
    </rPh>
    <rPh sb="26" eb="28">
      <t>タイオウ</t>
    </rPh>
    <rPh sb="28" eb="29">
      <t>バン</t>
    </rPh>
    <phoneticPr fontId="2"/>
  </si>
  <si>
    <t>領収書・明細書を添付してください（消費税率に注意）。</t>
    <rPh sb="17" eb="20">
      <t>ショウヒゼイ</t>
    </rPh>
    <rPh sb="20" eb="21">
      <t>リツ</t>
    </rPh>
    <rPh sb="22" eb="24">
      <t>チュウイ</t>
    </rPh>
    <phoneticPr fontId="2"/>
  </si>
  <si>
    <t>領収書は海外使用分と国内使用分とを分けて本精算書裏面等に貼付添付し、領収書No.を明記してください。</t>
    <rPh sb="0" eb="3">
      <t>リョウシュウショ</t>
    </rPh>
    <rPh sb="4" eb="6">
      <t>カイガイ</t>
    </rPh>
    <rPh sb="10" eb="12">
      <t>コクナイ</t>
    </rPh>
    <rPh sb="12" eb="14">
      <t>シヨウ</t>
    </rPh>
    <rPh sb="14" eb="15">
      <t>ブン</t>
    </rPh>
    <rPh sb="17" eb="18">
      <t>ワ</t>
    </rPh>
    <rPh sb="20" eb="21">
      <t>ホン</t>
    </rPh>
    <rPh sb="21" eb="23">
      <t>セイサン</t>
    </rPh>
    <rPh sb="23" eb="24">
      <t>ショ</t>
    </rPh>
    <rPh sb="24" eb="26">
      <t>ウラメン</t>
    </rPh>
    <rPh sb="26" eb="27">
      <t>トウ</t>
    </rPh>
    <rPh sb="28" eb="30">
      <t>チョウフ</t>
    </rPh>
    <rPh sb="30" eb="32">
      <t>テンプ</t>
    </rPh>
    <rPh sb="34" eb="37">
      <t>リョウシュウショ</t>
    </rPh>
    <rPh sb="41" eb="43">
      <t>メイキ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</si>
</sst>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
  </numFmts>
  <fonts count="23">
    <font>
      <sz val="9"/>
      <color theme="1"/>
      <name val="ＭＳ Ｐゴシック"/>
      <family val="2"/>
      <charset val="128"/>
      <scheme val="minor"/>
    </font>
    <font>
      <sz val="9"/>
      <color theme="1"/>
      <name val="ＭＳ Ｐゴシック"/>
      <family val="2"/>
      <charset val="128"/>
      <scheme val="minor"/>
    </font>
    <font>
      <sz val="6"/>
      <name val="ＭＳ Ｐゴシック"/>
      <family val="2"/>
      <charset val="128"/>
      <scheme val="minor"/>
    </font>
    <font>
      <sz val="9"/>
      <color theme="1"/>
      <name val="ＭＳ Ｐゴシック"/>
      <family val="3"/>
      <charset val="128"/>
      <scheme val="minor"/>
    </font>
    <font>
      <sz val="8"/>
      <color theme="1"/>
      <name val="ＭＳ Ｐ明朝"/>
      <family val="1"/>
      <charset val="128"/>
    </font>
    <font>
      <sz val="9"/>
      <color theme="1"/>
      <name val="ＭＳ Ｐ明朝"/>
      <family val="1"/>
      <charset val="128"/>
    </font>
    <font>
      <sz val="8"/>
      <color theme="1"/>
      <name val="ＭＳ Ｐゴシック"/>
      <family val="2"/>
      <charset val="128"/>
      <scheme val="minor"/>
    </font>
    <font>
      <b/>
      <sz val="9"/>
      <color theme="1"/>
      <name val="ＭＳ Ｐゴシック"/>
      <family val="3"/>
      <charset val="128"/>
      <scheme val="minor"/>
    </font>
    <font>
      <b/>
      <sz val="9"/>
      <color theme="1"/>
      <name val="ＭＳ Ｐ明朝"/>
      <family val="1"/>
      <charset val="128"/>
    </font>
    <font>
      <i/>
      <sz val="9"/>
      <color theme="1"/>
      <name val="ＭＳ Ｐ明朝"/>
      <family val="1"/>
      <charset val="128"/>
    </font>
    <font>
      <b/>
      <sz val="11"/>
      <color theme="1"/>
      <name val="ＭＳ Ｐ明朝"/>
      <family val="1"/>
      <charset val="128"/>
    </font>
    <font>
      <b/>
      <sz val="14"/>
      <color theme="1"/>
      <name val="ＭＳ Ｐ明朝"/>
      <family val="1"/>
      <charset val="128"/>
    </font>
    <font>
      <i/>
      <sz val="8"/>
      <color theme="1"/>
      <name val="ＭＳ Ｐ明朝"/>
      <family val="1"/>
      <charset val="128"/>
    </font>
    <font>
      <sz val="9"/>
      <color theme="1"/>
      <name val="ＭＳ Ｐゴシック"/>
      <family val="3"/>
      <charset val="128"/>
    </font>
    <font>
      <i/>
      <sz val="9"/>
      <color theme="1"/>
      <name val="ＭＳ Ｐゴシック"/>
      <family val="3"/>
      <charset val="128"/>
    </font>
    <font>
      <sz val="9"/>
      <color theme="1"/>
      <name val="ＭＳ Ｐゴシック"/>
      <family val="2"/>
      <charset val="128"/>
    </font>
    <font>
      <i/>
      <sz val="9"/>
      <color theme="1"/>
      <name val="ＭＳ Ｐゴシック"/>
      <family val="2"/>
      <charset val="128"/>
      <scheme val="minor"/>
    </font>
    <font>
      <i/>
      <sz val="9"/>
      <color theme="0" tint="-4.9989318521683403E-2"/>
      <name val="ＭＳ Ｐゴシック"/>
      <family val="2"/>
      <charset val="128"/>
      <scheme val="minor"/>
    </font>
    <font>
      <b/>
      <sz val="9"/>
      <color rgb="FFFF0000"/>
      <name val="ＭＳ Ｐゴシック"/>
      <family val="3"/>
      <charset val="128"/>
      <scheme val="minor"/>
    </font>
    <font>
      <i/>
      <sz val="9"/>
      <color theme="1"/>
      <name val="ＭＳ Ｐゴシック"/>
      <family val="3"/>
      <charset val="128"/>
      <scheme val="minor"/>
    </font>
    <font>
      <b/>
      <sz val="9"/>
      <color theme="1"/>
      <name val="ＭＳ Ｐゴシック"/>
      <family val="3"/>
      <charset val="128"/>
    </font>
    <font>
      <b/>
      <i/>
      <sz val="9"/>
      <color theme="1"/>
      <name val="ＭＳ Ｐゴシック"/>
      <family val="3"/>
      <charset val="128"/>
    </font>
    <font>
      <sz val="9"/>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4">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top style="hair">
        <color auto="1"/>
      </top>
      <bottom/>
      <diagonal/>
    </border>
    <border>
      <left/>
      <right/>
      <top style="hair">
        <color auto="1"/>
      </top>
      <bottom style="hair">
        <color auto="1"/>
      </bottom>
      <diagonal/>
    </border>
    <border>
      <left/>
      <right style="hair">
        <color auto="1"/>
      </right>
      <top style="hair">
        <color auto="1"/>
      </top>
      <bottom/>
      <diagonal/>
    </border>
    <border>
      <left style="hair">
        <color auto="1"/>
      </left>
      <right/>
      <top/>
      <bottom style="hair">
        <color auto="1"/>
      </bottom>
      <diagonal/>
    </border>
    <border>
      <left/>
      <right/>
      <top/>
      <bottom style="hair">
        <color auto="1"/>
      </bottom>
      <diagonal/>
    </border>
    <border>
      <left style="hair">
        <color auto="1"/>
      </left>
      <right/>
      <top/>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top style="thin">
        <color indexed="64"/>
      </top>
      <bottom style="hair">
        <color auto="1"/>
      </bottom>
      <diagonal/>
    </border>
    <border>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top style="hair">
        <color auto="1"/>
      </top>
      <bottom style="thin">
        <color indexed="64"/>
      </bottom>
      <diagonal/>
    </border>
    <border>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right/>
      <top style="thin">
        <color indexed="64"/>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hair">
        <color auto="1"/>
      </left>
      <right/>
      <top style="thin">
        <color auto="1"/>
      </top>
      <bottom/>
      <diagonal/>
    </border>
    <border>
      <left/>
      <right style="thin">
        <color auto="1"/>
      </right>
      <top style="thin">
        <color auto="1"/>
      </top>
      <bottom/>
      <diagonal/>
    </border>
    <border>
      <left/>
      <right/>
      <top style="hair">
        <color auto="1"/>
      </top>
      <bottom style="thin">
        <color auto="1"/>
      </bottom>
      <diagonal/>
    </border>
    <border>
      <left style="hair">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style="thin">
        <color auto="1"/>
      </bottom>
      <diagonal/>
    </border>
    <border>
      <left/>
      <right style="thin">
        <color indexed="64"/>
      </right>
      <top style="hair">
        <color auto="1"/>
      </top>
      <bottom style="hair">
        <color auto="1"/>
      </bottom>
      <diagonal/>
    </border>
    <border>
      <left/>
      <right style="thin">
        <color indexed="64"/>
      </right>
      <top style="hair">
        <color auto="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indexed="64"/>
      </left>
      <right/>
      <top style="hair">
        <color auto="1"/>
      </top>
      <bottom style="hair">
        <color auto="1"/>
      </bottom>
      <diagonal/>
    </border>
    <border>
      <left/>
      <right style="hair">
        <color auto="1"/>
      </right>
      <top style="thin">
        <color indexed="64"/>
      </top>
      <bottom/>
      <diagonal/>
    </border>
    <border>
      <left style="hair">
        <color auto="1"/>
      </left>
      <right style="hair">
        <color auto="1"/>
      </right>
      <top/>
      <bottom/>
      <diagonal/>
    </border>
    <border>
      <left/>
      <right style="hair">
        <color auto="1"/>
      </right>
      <top style="thin">
        <color indexed="64"/>
      </top>
      <bottom style="thin">
        <color indexed="64"/>
      </bottom>
      <diagonal/>
    </border>
    <border>
      <left style="hair">
        <color auto="1"/>
      </left>
      <right style="hair">
        <color auto="1"/>
      </right>
      <top style="hair">
        <color auto="1"/>
      </top>
      <bottom/>
      <diagonal/>
    </border>
    <border>
      <left style="medium">
        <color indexed="64"/>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thin">
        <color indexed="64"/>
      </left>
      <right/>
      <top style="thin">
        <color indexed="64"/>
      </top>
      <bottom style="hair">
        <color auto="1"/>
      </bottom>
      <diagonal/>
    </border>
    <border>
      <left style="double">
        <color indexed="64"/>
      </left>
      <right style="hair">
        <color auto="1"/>
      </right>
      <top style="double">
        <color indexed="64"/>
      </top>
      <bottom style="double">
        <color indexed="64"/>
      </bottom>
      <diagonal/>
    </border>
    <border>
      <left style="hair">
        <color auto="1"/>
      </left>
      <right style="double">
        <color indexed="64"/>
      </right>
      <top style="double">
        <color indexed="64"/>
      </top>
      <bottom style="double">
        <color indexed="64"/>
      </bottom>
      <diagonal/>
    </border>
    <border>
      <left style="medium">
        <color indexed="64"/>
      </left>
      <right style="hair">
        <color auto="1"/>
      </right>
      <top style="medium">
        <color indexed="64"/>
      </top>
      <bottom/>
      <diagonal/>
    </border>
    <border>
      <left style="hair">
        <color auto="1"/>
      </left>
      <right style="medium">
        <color indexed="64"/>
      </right>
      <top style="medium">
        <color indexed="64"/>
      </top>
      <bottom/>
      <diagonal/>
    </border>
    <border>
      <left style="hair">
        <color auto="1"/>
      </left>
      <right style="hair">
        <color auto="1"/>
      </right>
      <top style="thin">
        <color indexed="64"/>
      </top>
      <bottom/>
      <diagonal/>
    </border>
    <border>
      <left style="thick">
        <color indexed="64"/>
      </left>
      <right style="hair">
        <color auto="1"/>
      </right>
      <top style="thick">
        <color indexed="64"/>
      </top>
      <bottom style="thick">
        <color indexed="64"/>
      </bottom>
      <diagonal/>
    </border>
    <border>
      <left style="hair">
        <color auto="1"/>
      </left>
      <right style="thick">
        <color indexed="64"/>
      </right>
      <top style="thick">
        <color indexed="64"/>
      </top>
      <bottom style="thick">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45">
    <xf numFmtId="0" fontId="0" fillId="0" borderId="0" xfId="0">
      <alignment vertical="center"/>
    </xf>
    <xf numFmtId="0" fontId="0" fillId="0" borderId="0" xfId="0">
      <alignment vertical="center"/>
    </xf>
    <xf numFmtId="0" fontId="0" fillId="0" borderId="0" xfId="0" applyBorder="1">
      <alignment vertical="center"/>
    </xf>
    <xf numFmtId="38" fontId="0" fillId="0" borderId="0" xfId="1" applyFont="1" applyBorder="1">
      <alignment vertical="center"/>
    </xf>
    <xf numFmtId="176" fontId="3" fillId="0" borderId="0" xfId="0" applyNumberFormat="1" applyFont="1" applyBorder="1" applyAlignment="1">
      <alignment horizontal="right" vertical="center"/>
    </xf>
    <xf numFmtId="0" fontId="0" fillId="0" borderId="0" xfId="0">
      <alignment vertical="center"/>
    </xf>
    <xf numFmtId="0" fontId="0" fillId="0" borderId="0" xfId="0">
      <alignment vertical="center"/>
    </xf>
    <xf numFmtId="0" fontId="6" fillId="0" borderId="0" xfId="0" applyFont="1">
      <alignment vertical="center"/>
    </xf>
    <xf numFmtId="0" fontId="0" fillId="0" borderId="0" xfId="0">
      <alignment vertical="center"/>
    </xf>
    <xf numFmtId="0" fontId="5" fillId="2" borderId="20" xfId="0" applyFont="1" applyFill="1" applyBorder="1" applyAlignment="1">
      <alignment horizontal="center" vertical="center"/>
    </xf>
    <xf numFmtId="0" fontId="0" fillId="0" borderId="0" xfId="0" applyBorder="1">
      <alignment vertical="center"/>
    </xf>
    <xf numFmtId="0" fontId="0" fillId="0" borderId="40" xfId="0" applyBorder="1">
      <alignment vertical="center"/>
    </xf>
    <xf numFmtId="0" fontId="7" fillId="0" borderId="0" xfId="0" applyFont="1" applyBorder="1" applyAlignment="1">
      <alignment vertical="center"/>
    </xf>
    <xf numFmtId="0" fontId="3" fillId="0" borderId="0" xfId="0" applyFont="1" applyBorder="1" applyAlignment="1">
      <alignment horizontal="center" vertical="center"/>
    </xf>
    <xf numFmtId="0" fontId="3" fillId="0" borderId="0" xfId="0" applyFont="1" applyBorder="1">
      <alignment vertical="center"/>
    </xf>
    <xf numFmtId="0" fontId="5" fillId="2" borderId="4" xfId="0" applyFont="1" applyFill="1" applyBorder="1" applyAlignment="1">
      <alignment horizontal="center" vertical="center"/>
    </xf>
    <xf numFmtId="0" fontId="5" fillId="2" borderId="44" xfId="0" applyFont="1" applyFill="1" applyBorder="1">
      <alignment vertical="center"/>
    </xf>
    <xf numFmtId="0" fontId="5" fillId="2" borderId="43" xfId="0" applyFont="1" applyFill="1" applyBorder="1">
      <alignment vertical="center"/>
    </xf>
    <xf numFmtId="0" fontId="5" fillId="2" borderId="3" xfId="0" applyFont="1" applyFill="1" applyBorder="1" applyAlignment="1">
      <alignment horizontal="right" vertical="center"/>
    </xf>
    <xf numFmtId="0" fontId="0" fillId="0" borderId="31" xfId="0" applyBorder="1">
      <alignment vertical="center"/>
    </xf>
    <xf numFmtId="0" fontId="5" fillId="2" borderId="21" xfId="0" applyFont="1" applyFill="1" applyBorder="1" applyAlignment="1">
      <alignment horizontal="right" vertical="center"/>
    </xf>
    <xf numFmtId="0" fontId="5" fillId="2" borderId="35" xfId="0" applyFont="1" applyFill="1" applyBorder="1">
      <alignment vertical="center"/>
    </xf>
    <xf numFmtId="0" fontId="0" fillId="0" borderId="0" xfId="0" applyFont="1">
      <alignment vertical="center"/>
    </xf>
    <xf numFmtId="0" fontId="0" fillId="0" borderId="0" xfId="0" applyFont="1" applyFill="1">
      <alignment vertical="center"/>
    </xf>
    <xf numFmtId="0" fontId="18" fillId="0" borderId="0" xfId="0" applyFont="1">
      <alignment vertical="center"/>
    </xf>
    <xf numFmtId="0" fontId="5" fillId="2" borderId="3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34"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35" xfId="0" applyFont="1" applyFill="1" applyBorder="1" applyAlignment="1">
      <alignment horizontal="center" vertical="center"/>
    </xf>
    <xf numFmtId="0" fontId="5" fillId="2" borderId="14" xfId="0" applyFont="1" applyFill="1" applyBorder="1" applyAlignment="1">
      <alignment horizontal="center" vertical="center"/>
    </xf>
    <xf numFmtId="0" fontId="0" fillId="0" borderId="21" xfId="0" applyBorder="1" applyProtection="1">
      <alignment vertical="center"/>
      <protection locked="0"/>
    </xf>
    <xf numFmtId="0" fontId="0" fillId="0" borderId="3" xfId="0" applyBorder="1" applyProtection="1">
      <alignment vertical="center"/>
      <protection locked="0"/>
    </xf>
    <xf numFmtId="0" fontId="0" fillId="0" borderId="28" xfId="0" applyBorder="1" applyProtection="1">
      <alignment vertical="center"/>
      <protection locked="0"/>
    </xf>
    <xf numFmtId="0" fontId="0" fillId="0" borderId="34" xfId="0" applyBorder="1" applyProtection="1">
      <alignment vertical="center"/>
      <protection locked="0"/>
    </xf>
    <xf numFmtId="0" fontId="0" fillId="0" borderId="14" xfId="0" applyBorder="1" applyProtection="1">
      <alignment vertical="center"/>
      <protection locked="0"/>
    </xf>
    <xf numFmtId="0" fontId="0" fillId="0" borderId="38" xfId="0" applyBorder="1" applyProtection="1">
      <alignment vertical="center"/>
      <protection locked="0"/>
    </xf>
    <xf numFmtId="49" fontId="0" fillId="0" borderId="34" xfId="0" applyNumberFormat="1" applyBorder="1" applyAlignment="1" applyProtection="1">
      <alignment horizontal="right" vertical="center"/>
      <protection locked="0"/>
    </xf>
    <xf numFmtId="49" fontId="0" fillId="0" borderId="38" xfId="0" applyNumberFormat="1" applyBorder="1" applyAlignment="1" applyProtection="1">
      <alignment horizontal="right" vertical="center"/>
      <protection locked="0"/>
    </xf>
    <xf numFmtId="0" fontId="0" fillId="0" borderId="1" xfId="0" applyBorder="1" applyProtection="1">
      <alignment vertical="center"/>
      <protection locked="0"/>
    </xf>
    <xf numFmtId="0" fontId="5" fillId="0" borderId="50" xfId="0" applyFont="1" applyBorder="1" applyAlignment="1">
      <alignment horizontal="center" vertical="center"/>
    </xf>
    <xf numFmtId="0" fontId="19" fillId="0" borderId="0" xfId="0" applyFont="1">
      <alignment vertical="center"/>
    </xf>
    <xf numFmtId="0" fontId="5" fillId="0" borderId="0" xfId="0" applyFont="1">
      <alignment vertical="center"/>
    </xf>
    <xf numFmtId="0" fontId="9" fillId="2" borderId="3" xfId="0" applyFont="1" applyFill="1" applyBorder="1">
      <alignment vertical="center"/>
    </xf>
    <xf numFmtId="0" fontId="9" fillId="2" borderId="14" xfId="0" applyFont="1" applyFill="1" applyBorder="1">
      <alignment vertical="center"/>
    </xf>
    <xf numFmtId="0" fontId="17" fillId="2" borderId="13" xfId="0" applyFont="1" applyFill="1" applyBorder="1">
      <alignment vertical="center"/>
    </xf>
    <xf numFmtId="0" fontId="17" fillId="2" borderId="15" xfId="0" applyFont="1" applyFill="1" applyBorder="1">
      <alignment vertical="center"/>
    </xf>
    <xf numFmtId="0" fontId="9" fillId="2" borderId="1" xfId="0" applyFont="1" applyFill="1" applyBorder="1">
      <alignment vertical="center"/>
    </xf>
    <xf numFmtId="38" fontId="16" fillId="2" borderId="3" xfId="1" applyFont="1" applyFill="1" applyBorder="1">
      <alignment vertical="center"/>
    </xf>
    <xf numFmtId="38" fontId="16" fillId="2" borderId="4" xfId="1" applyFont="1" applyFill="1" applyBorder="1">
      <alignment vertical="center"/>
    </xf>
    <xf numFmtId="0" fontId="0" fillId="0" borderId="28" xfId="0" applyBorder="1" applyProtection="1">
      <alignment vertical="center"/>
      <protection locked="0"/>
    </xf>
    <xf numFmtId="0" fontId="0" fillId="0" borderId="38" xfId="0" applyBorder="1" applyProtection="1">
      <alignment vertical="center"/>
      <protection locked="0"/>
    </xf>
    <xf numFmtId="0" fontId="0" fillId="0" borderId="44" xfId="0" applyBorder="1" applyProtection="1">
      <alignment vertical="center"/>
      <protection locked="0"/>
    </xf>
    <xf numFmtId="0" fontId="12" fillId="0" borderId="0" xfId="0" applyFont="1" applyBorder="1" applyAlignment="1">
      <alignment horizontal="left" vertical="center"/>
    </xf>
    <xf numFmtId="0" fontId="9" fillId="0" borderId="17" xfId="0" applyFont="1" applyFill="1" applyBorder="1">
      <alignment vertical="center"/>
    </xf>
    <xf numFmtId="0" fontId="4" fillId="0" borderId="31" xfId="0" applyFont="1" applyBorder="1">
      <alignment vertical="center"/>
    </xf>
    <xf numFmtId="0" fontId="4" fillId="0" borderId="0" xfId="0" applyFont="1">
      <alignment vertical="center"/>
    </xf>
    <xf numFmtId="0" fontId="5" fillId="2" borderId="1" xfId="0" applyFont="1" applyFill="1" applyBorder="1" applyAlignment="1">
      <alignment horizontal="center" vertical="center"/>
    </xf>
    <xf numFmtId="0" fontId="0" fillId="0" borderId="1" xfId="0" applyBorder="1" applyProtection="1">
      <alignment vertical="center"/>
      <protection locked="0"/>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38" fontId="13" fillId="2" borderId="53" xfId="1" applyFont="1" applyFill="1" applyBorder="1">
      <alignment vertical="center"/>
    </xf>
    <xf numFmtId="38" fontId="13" fillId="2" borderId="2" xfId="1" applyFont="1" applyFill="1" applyBorder="1">
      <alignment vertical="center"/>
    </xf>
    <xf numFmtId="38" fontId="13" fillId="2" borderId="20" xfId="1" applyFont="1" applyFill="1" applyBorder="1">
      <alignment vertical="center"/>
    </xf>
    <xf numFmtId="38" fontId="13" fillId="2" borderId="21" xfId="1" applyFont="1" applyFill="1" applyBorder="1">
      <alignment vertical="center"/>
    </xf>
    <xf numFmtId="56" fontId="0" fillId="0" borderId="1" xfId="0" applyNumberFormat="1" applyBorder="1" applyProtection="1">
      <alignment vertical="center"/>
      <protection locked="0"/>
    </xf>
    <xf numFmtId="0" fontId="5" fillId="2" borderId="20" xfId="0" applyFont="1" applyFill="1" applyBorder="1" applyAlignment="1">
      <alignment horizontal="center" vertical="center" wrapText="1"/>
    </xf>
    <xf numFmtId="0" fontId="0" fillId="0" borderId="1" xfId="0" applyFill="1" applyBorder="1" applyProtection="1">
      <alignment vertical="center"/>
      <protection locked="0"/>
    </xf>
    <xf numFmtId="0" fontId="0" fillId="0" borderId="25" xfId="0" applyFill="1" applyBorder="1" applyProtection="1">
      <alignment vertical="center"/>
      <protection locked="0"/>
    </xf>
    <xf numFmtId="0" fontId="9" fillId="2" borderId="20" xfId="0" applyFont="1" applyFill="1" applyBorder="1" applyAlignment="1">
      <alignment horizontal="center" vertical="center" wrapText="1"/>
    </xf>
    <xf numFmtId="0" fontId="5" fillId="2" borderId="20" xfId="0" applyFont="1" applyFill="1" applyBorder="1" applyAlignment="1">
      <alignment horizontal="center" vertical="center"/>
    </xf>
    <xf numFmtId="176" fontId="9" fillId="2" borderId="1" xfId="0" applyNumberFormat="1" applyFont="1" applyFill="1" applyBorder="1">
      <alignment vertical="center"/>
    </xf>
    <xf numFmtId="38" fontId="3" fillId="2" borderId="1" xfId="1" applyFont="1" applyFill="1" applyBorder="1">
      <alignment vertical="center"/>
    </xf>
    <xf numFmtId="176" fontId="5" fillId="2" borderId="26" xfId="0" applyNumberFormat="1" applyFont="1" applyFill="1" applyBorder="1" applyAlignment="1">
      <alignment horizontal="right" vertical="center"/>
    </xf>
    <xf numFmtId="176" fontId="5" fillId="2" borderId="27" xfId="0" applyNumberFormat="1" applyFont="1" applyFill="1" applyBorder="1" applyAlignment="1">
      <alignment horizontal="right" vertical="center"/>
    </xf>
    <xf numFmtId="0" fontId="8" fillId="0" borderId="40" xfId="0" applyFont="1" applyBorder="1">
      <alignment vertical="center"/>
    </xf>
    <xf numFmtId="0" fontId="5" fillId="2" borderId="24"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61" xfId="0" applyFont="1" applyFill="1" applyBorder="1" applyAlignment="1">
      <alignment horizontal="center" vertical="center"/>
    </xf>
    <xf numFmtId="0" fontId="0" fillId="2" borderId="24" xfId="0" applyFill="1" applyBorder="1">
      <alignment vertical="center"/>
    </xf>
    <xf numFmtId="0" fontId="0" fillId="2" borderId="1" xfId="0" applyFill="1" applyBorder="1">
      <alignment vertical="center"/>
    </xf>
    <xf numFmtId="0" fontId="5" fillId="2" borderId="24" xfId="0" applyFont="1" applyFill="1" applyBorder="1">
      <alignment vertical="center"/>
    </xf>
    <xf numFmtId="0" fontId="5" fillId="2" borderId="1" xfId="0" applyFont="1" applyFill="1" applyBorder="1">
      <alignment vertical="center"/>
    </xf>
    <xf numFmtId="0" fontId="0" fillId="0" borderId="49" xfId="0" applyBorder="1" applyAlignment="1">
      <alignment horizontal="center" vertical="center"/>
    </xf>
    <xf numFmtId="0" fontId="0" fillId="0" borderId="14"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0" fontId="0" fillId="0" borderId="38" xfId="0" applyBorder="1" applyAlignment="1">
      <alignment horizontal="center" vertical="center"/>
    </xf>
    <xf numFmtId="0" fontId="0" fillId="0" borderId="44" xfId="0" applyBorder="1" applyAlignment="1">
      <alignment horizontal="center" vertical="center"/>
    </xf>
    <xf numFmtId="38" fontId="5" fillId="2" borderId="3" xfId="1" applyFont="1" applyFill="1" applyBorder="1">
      <alignment vertical="center"/>
    </xf>
    <xf numFmtId="38" fontId="5" fillId="2" borderId="14" xfId="1" applyFont="1" applyFill="1" applyBorder="1">
      <alignment vertical="center"/>
    </xf>
    <xf numFmtId="176" fontId="0" fillId="0" borderId="3" xfId="0" applyNumberFormat="1" applyBorder="1" applyProtection="1">
      <alignment vertical="center"/>
      <protection locked="0"/>
    </xf>
    <xf numFmtId="176" fontId="0" fillId="0" borderId="14" xfId="0" applyNumberFormat="1" applyBorder="1" applyProtection="1">
      <alignment vertical="center"/>
      <protection locked="0"/>
    </xf>
    <xf numFmtId="176" fontId="0" fillId="0" borderId="43" xfId="0" applyNumberFormat="1" applyBorder="1" applyProtection="1">
      <alignment vertical="center"/>
      <protection locked="0"/>
    </xf>
    <xf numFmtId="176" fontId="0" fillId="0" borderId="28" xfId="0" applyNumberFormat="1" applyBorder="1" applyProtection="1">
      <alignment vertical="center"/>
      <protection locked="0"/>
    </xf>
    <xf numFmtId="176" fontId="0" fillId="0" borderId="38" xfId="0" applyNumberFormat="1" applyBorder="1" applyProtection="1">
      <alignment vertical="center"/>
      <protection locked="0"/>
    </xf>
    <xf numFmtId="176" fontId="0" fillId="0" borderId="44" xfId="0" applyNumberFormat="1" applyBorder="1" applyProtection="1">
      <alignment vertical="center"/>
      <protection locked="0"/>
    </xf>
    <xf numFmtId="0" fontId="0" fillId="0" borderId="27" xfId="0" applyBorder="1" applyProtection="1">
      <alignment vertical="center"/>
      <protection locked="0"/>
    </xf>
    <xf numFmtId="38" fontId="0" fillId="2" borderId="1" xfId="1" applyFont="1" applyFill="1" applyBorder="1">
      <alignment vertical="center"/>
    </xf>
    <xf numFmtId="56" fontId="0" fillId="0" borderId="24" xfId="0" applyNumberFormat="1" applyBorder="1" applyProtection="1">
      <alignment vertical="center"/>
      <protection locked="0"/>
    </xf>
    <xf numFmtId="0" fontId="5" fillId="2" borderId="19" xfId="0" applyFont="1" applyFill="1" applyBorder="1" applyAlignment="1">
      <alignment horizontal="center" vertical="center"/>
    </xf>
    <xf numFmtId="56" fontId="0" fillId="0" borderId="27" xfId="0" applyNumberFormat="1" applyBorder="1" applyProtection="1">
      <alignment vertical="center"/>
      <protection locked="0"/>
    </xf>
    <xf numFmtId="0" fontId="0" fillId="2" borderId="26" xfId="0" applyFill="1" applyBorder="1">
      <alignment vertical="center"/>
    </xf>
    <xf numFmtId="0" fontId="0" fillId="2" borderId="27" xfId="0" applyFill="1" applyBorder="1">
      <alignment vertical="center"/>
    </xf>
    <xf numFmtId="0" fontId="5" fillId="2" borderId="21" xfId="0" applyFont="1" applyFill="1" applyBorder="1" applyAlignment="1">
      <alignment horizontal="center" vertical="center"/>
    </xf>
    <xf numFmtId="0" fontId="5" fillId="2" borderId="34"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19" xfId="0" applyFont="1" applyFill="1" applyBorder="1" applyAlignment="1">
      <alignment horizontal="center" vertical="center" wrapText="1"/>
    </xf>
    <xf numFmtId="56" fontId="19" fillId="2" borderId="1" xfId="0" applyNumberFormat="1" applyFont="1" applyFill="1" applyBorder="1">
      <alignment vertical="center"/>
    </xf>
    <xf numFmtId="0" fontId="19" fillId="2" borderId="1" xfId="0" applyFont="1" applyFill="1" applyBorder="1">
      <alignment vertical="center"/>
    </xf>
    <xf numFmtId="176" fontId="19" fillId="2" borderId="1" xfId="0" applyNumberFormat="1" applyFont="1" applyFill="1" applyBorder="1">
      <alignment vertical="center"/>
    </xf>
    <xf numFmtId="176" fontId="19" fillId="2" borderId="25" xfId="0" applyNumberFormat="1" applyFont="1" applyFill="1" applyBorder="1">
      <alignment vertical="center"/>
    </xf>
    <xf numFmtId="0" fontId="9" fillId="2" borderId="4" xfId="0" applyFont="1" applyFill="1" applyBorder="1">
      <alignment vertical="center"/>
    </xf>
    <xf numFmtId="38" fontId="1" fillId="2" borderId="1" xfId="1" applyFont="1" applyFill="1" applyBorder="1">
      <alignment vertical="center"/>
    </xf>
    <xf numFmtId="0" fontId="5" fillId="2" borderId="42"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36" xfId="0" applyFont="1" applyFill="1" applyBorder="1">
      <alignment vertical="center"/>
    </xf>
    <xf numFmtId="0" fontId="5" fillId="2" borderId="31" xfId="0" applyFont="1" applyFill="1" applyBorder="1">
      <alignment vertical="center"/>
    </xf>
    <xf numFmtId="0" fontId="5" fillId="2" borderId="37" xfId="0" applyFont="1" applyFill="1" applyBorder="1">
      <alignment vertical="center"/>
    </xf>
    <xf numFmtId="0" fontId="5" fillId="2" borderId="39" xfId="0" applyFont="1" applyFill="1" applyBorder="1">
      <alignment vertical="center"/>
    </xf>
    <xf numFmtId="0" fontId="5" fillId="2" borderId="40" xfId="0" applyFont="1" applyFill="1" applyBorder="1">
      <alignment vertical="center"/>
    </xf>
    <xf numFmtId="0" fontId="5" fillId="2" borderId="41" xfId="0" applyFont="1" applyFill="1" applyBorder="1">
      <alignment vertical="center"/>
    </xf>
    <xf numFmtId="0" fontId="10" fillId="0" borderId="0" xfId="0" applyFont="1" applyAlignment="1">
      <alignment horizontal="center" vertical="center"/>
    </xf>
    <xf numFmtId="38" fontId="13" fillId="2" borderId="59" xfId="1" applyFont="1" applyFill="1" applyBorder="1">
      <alignment vertical="center"/>
    </xf>
    <xf numFmtId="38" fontId="13" fillId="2" borderId="60" xfId="1" applyFont="1" applyFill="1" applyBorder="1">
      <alignment vertical="center"/>
    </xf>
    <xf numFmtId="0" fontId="8" fillId="0" borderId="0" xfId="0" applyFont="1" applyBorder="1">
      <alignment vertical="center"/>
    </xf>
    <xf numFmtId="0" fontId="5" fillId="0" borderId="0" xfId="0" applyFont="1" applyBorder="1">
      <alignment vertical="center"/>
    </xf>
    <xf numFmtId="0" fontId="5" fillId="2" borderId="23" xfId="0" applyFont="1" applyFill="1" applyBorder="1" applyAlignment="1">
      <alignment horizontal="center" vertical="center" wrapText="1"/>
    </xf>
    <xf numFmtId="0" fontId="0" fillId="0" borderId="61" xfId="0" applyBorder="1" applyProtection="1">
      <alignment vertical="center"/>
      <protection locked="0"/>
    </xf>
    <xf numFmtId="0" fontId="0" fillId="0" borderId="36" xfId="0" applyBorder="1" applyProtection="1">
      <alignment vertical="center"/>
      <protection locked="0"/>
    </xf>
    <xf numFmtId="0" fontId="0" fillId="0" borderId="20" xfId="0" applyBorder="1" applyProtection="1">
      <alignment vertical="center"/>
      <protection locked="0"/>
    </xf>
    <xf numFmtId="0" fontId="5" fillId="2" borderId="26" xfId="0" applyFont="1" applyFill="1" applyBorder="1" applyAlignment="1">
      <alignment horizontal="center" vertical="center"/>
    </xf>
    <xf numFmtId="0" fontId="5" fillId="2" borderId="27" xfId="0" applyFont="1" applyFill="1" applyBorder="1" applyAlignment="1">
      <alignment horizontal="center" vertical="center"/>
    </xf>
    <xf numFmtId="0" fontId="0" fillId="0" borderId="28" xfId="0" applyBorder="1" applyAlignment="1" applyProtection="1">
      <alignment horizontal="left" vertical="center"/>
      <protection locked="0"/>
    </xf>
    <xf numFmtId="0" fontId="0" fillId="0" borderId="29" xfId="0" applyBorder="1" applyAlignment="1" applyProtection="1">
      <alignment horizontal="left" vertical="center"/>
      <protection locked="0"/>
    </xf>
    <xf numFmtId="38" fontId="0" fillId="0" borderId="21" xfId="1" applyFont="1" applyBorder="1" applyProtection="1">
      <alignment vertical="center"/>
      <protection locked="0"/>
    </xf>
    <xf numFmtId="38" fontId="0" fillId="0" borderId="34" xfId="1" applyFont="1" applyBorder="1" applyProtection="1">
      <alignment vertical="center"/>
      <protection locked="0"/>
    </xf>
    <xf numFmtId="38" fontId="22" fillId="0" borderId="1" xfId="1" applyFont="1" applyBorder="1" applyProtection="1">
      <alignment vertical="center"/>
      <protection locked="0"/>
    </xf>
    <xf numFmtId="0" fontId="5" fillId="2" borderId="28" xfId="0" applyFont="1" applyFill="1" applyBorder="1">
      <alignment vertical="center"/>
    </xf>
    <xf numFmtId="0" fontId="5" fillId="2" borderId="38" xfId="0" applyFont="1" applyFill="1" applyBorder="1">
      <alignment vertical="center"/>
    </xf>
    <xf numFmtId="0" fontId="5" fillId="2" borderId="44" xfId="0" applyFont="1" applyFill="1" applyBorder="1">
      <alignment vertical="center"/>
    </xf>
    <xf numFmtId="38" fontId="5" fillId="2" borderId="4" xfId="1" applyFont="1" applyFill="1" applyBorder="1">
      <alignment vertical="center"/>
    </xf>
    <xf numFmtId="38" fontId="0" fillId="0" borderId="3" xfId="1" applyFont="1" applyBorder="1" applyProtection="1">
      <alignment vertical="center"/>
      <protection locked="0"/>
    </xf>
    <xf numFmtId="38" fontId="0" fillId="0" borderId="14" xfId="1" applyFont="1" applyBorder="1" applyProtection="1">
      <alignment vertical="center"/>
      <protection locked="0"/>
    </xf>
    <xf numFmtId="38" fontId="0" fillId="0" borderId="4" xfId="1" applyFont="1" applyBorder="1" applyProtection="1">
      <alignment vertical="center"/>
      <protection locked="0"/>
    </xf>
    <xf numFmtId="0" fontId="0" fillId="2" borderId="20" xfId="0" applyFill="1" applyBorder="1" applyAlignment="1">
      <alignment horizontal="center" vertical="center"/>
    </xf>
    <xf numFmtId="0" fontId="0" fillId="2" borderId="23" xfId="0" applyFill="1" applyBorder="1" applyAlignment="1">
      <alignment horizontal="center" vertical="center"/>
    </xf>
    <xf numFmtId="38" fontId="15" fillId="0" borderId="1" xfId="1" applyFont="1" applyBorder="1" applyProtection="1">
      <alignment vertical="center"/>
      <protection locked="0"/>
    </xf>
    <xf numFmtId="0" fontId="0" fillId="0" borderId="25" xfId="0" applyBorder="1" applyProtection="1">
      <alignment vertical="center"/>
      <protection locked="0"/>
    </xf>
    <xf numFmtId="0" fontId="9" fillId="2" borderId="1" xfId="0" applyFont="1" applyFill="1" applyBorder="1" applyAlignment="1">
      <alignment horizontal="center" vertical="center"/>
    </xf>
    <xf numFmtId="0" fontId="16" fillId="2" borderId="1" xfId="0" applyFont="1" applyFill="1" applyBorder="1">
      <alignment vertical="center"/>
    </xf>
    <xf numFmtId="38" fontId="13" fillId="2" borderId="1" xfId="1" applyFont="1" applyFill="1" applyBorder="1">
      <alignment vertical="center"/>
    </xf>
    <xf numFmtId="38" fontId="13" fillId="2" borderId="25" xfId="1" applyFont="1" applyFill="1" applyBorder="1">
      <alignment vertical="center"/>
    </xf>
    <xf numFmtId="0" fontId="9" fillId="2" borderId="26" xfId="0" applyFont="1" applyFill="1" applyBorder="1" applyAlignment="1">
      <alignment horizontal="center" vertical="center"/>
    </xf>
    <xf numFmtId="0" fontId="9" fillId="2" borderId="27" xfId="0" applyFont="1" applyFill="1" applyBorder="1" applyAlignment="1">
      <alignment horizontal="center" vertical="center"/>
    </xf>
    <xf numFmtId="0" fontId="16" fillId="2" borderId="27" xfId="0" applyFont="1" applyFill="1" applyBorder="1">
      <alignment vertical="center"/>
    </xf>
    <xf numFmtId="0" fontId="9" fillId="2" borderId="1" xfId="0" applyFont="1" applyFill="1" applyBorder="1" applyAlignment="1">
      <alignment horizontal="right" vertical="center"/>
    </xf>
    <xf numFmtId="0" fontId="9" fillId="2" borderId="3" xfId="0" applyFont="1" applyFill="1" applyBorder="1" applyAlignment="1">
      <alignment horizontal="right" vertical="center"/>
    </xf>
    <xf numFmtId="38" fontId="0" fillId="2" borderId="27" xfId="1" applyFont="1" applyFill="1" applyBorder="1">
      <alignment vertical="center"/>
    </xf>
    <xf numFmtId="0" fontId="5" fillId="2" borderId="35" xfId="0" applyFont="1" applyFill="1" applyBorder="1" applyAlignment="1">
      <alignment horizontal="center" vertical="center"/>
    </xf>
    <xf numFmtId="0" fontId="5" fillId="2" borderId="3" xfId="0" applyFont="1" applyFill="1" applyBorder="1">
      <alignment vertical="center"/>
    </xf>
    <xf numFmtId="0" fontId="5" fillId="2" borderId="14" xfId="0" applyFont="1" applyFill="1" applyBorder="1">
      <alignment vertical="center"/>
    </xf>
    <xf numFmtId="0" fontId="5" fillId="2" borderId="43" xfId="0" applyFont="1" applyFill="1" applyBorder="1">
      <alignment vertical="center"/>
    </xf>
    <xf numFmtId="0" fontId="10" fillId="0" borderId="0" xfId="0" applyFont="1" applyBorder="1" applyAlignment="1">
      <alignment horizontal="center" vertical="center"/>
    </xf>
    <xf numFmtId="38" fontId="1" fillId="2" borderId="27" xfId="1" applyFont="1" applyFill="1" applyBorder="1">
      <alignment vertical="center"/>
    </xf>
    <xf numFmtId="0" fontId="0" fillId="2" borderId="28" xfId="0" applyFill="1" applyBorder="1">
      <alignment vertical="center"/>
    </xf>
    <xf numFmtId="0" fontId="0" fillId="2" borderId="44" xfId="0" applyFill="1" applyBorder="1">
      <alignment vertical="center"/>
    </xf>
    <xf numFmtId="38" fontId="14" fillId="2" borderId="1" xfId="1" applyFont="1" applyFill="1" applyBorder="1">
      <alignment vertical="center"/>
    </xf>
    <xf numFmtId="38" fontId="22" fillId="2" borderId="27" xfId="1" applyFont="1" applyFill="1" applyBorder="1">
      <alignment vertical="center"/>
    </xf>
    <xf numFmtId="38" fontId="20" fillId="2" borderId="57" xfId="1" applyFont="1" applyFill="1" applyBorder="1">
      <alignment vertical="center"/>
    </xf>
    <xf numFmtId="38" fontId="20" fillId="2" borderId="58" xfId="1" applyFont="1" applyFill="1" applyBorder="1">
      <alignment vertical="center"/>
    </xf>
    <xf numFmtId="38" fontId="13" fillId="2" borderId="51" xfId="1" applyFont="1" applyFill="1" applyBorder="1">
      <alignment vertical="center"/>
    </xf>
    <xf numFmtId="38" fontId="13" fillId="2" borderId="18" xfId="1" applyFont="1" applyFill="1" applyBorder="1">
      <alignment vertical="center"/>
    </xf>
    <xf numFmtId="38" fontId="20" fillId="2" borderId="62" xfId="1" applyFont="1" applyFill="1" applyBorder="1">
      <alignment vertical="center"/>
    </xf>
    <xf numFmtId="38" fontId="20" fillId="2" borderId="63" xfId="1" applyFont="1" applyFill="1" applyBorder="1">
      <alignment vertical="center"/>
    </xf>
    <xf numFmtId="0" fontId="5" fillId="0" borderId="56"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38" fontId="13" fillId="2" borderId="48" xfId="1" applyFont="1" applyFill="1" applyBorder="1">
      <alignment vertical="center"/>
    </xf>
    <xf numFmtId="38" fontId="13" fillId="2" borderId="16" xfId="1" applyFont="1" applyFill="1" applyBorder="1">
      <alignment vertical="center"/>
    </xf>
    <xf numFmtId="38" fontId="21" fillId="2" borderId="57" xfId="1" applyFont="1" applyFill="1" applyBorder="1">
      <alignment vertical="center"/>
    </xf>
    <xf numFmtId="38" fontId="21" fillId="2" borderId="58" xfId="1" applyFont="1" applyFill="1" applyBorder="1">
      <alignment vertical="center"/>
    </xf>
    <xf numFmtId="38" fontId="3" fillId="2" borderId="27" xfId="1" applyFont="1" applyFill="1" applyBorder="1">
      <alignment vertical="center"/>
    </xf>
    <xf numFmtId="0" fontId="5" fillId="2" borderId="27" xfId="0" applyFont="1" applyFill="1" applyBorder="1">
      <alignment vertical="center"/>
    </xf>
    <xf numFmtId="0" fontId="5" fillId="2" borderId="30" xfId="0" applyFont="1" applyFill="1" applyBorder="1">
      <alignment vertical="center"/>
    </xf>
    <xf numFmtId="0" fontId="5" fillId="2" borderId="26" xfId="0" applyFont="1" applyFill="1" applyBorder="1" applyAlignment="1">
      <alignment horizontal="right" vertical="center"/>
    </xf>
    <xf numFmtId="0" fontId="5" fillId="2" borderId="27" xfId="0" applyFont="1" applyFill="1" applyBorder="1" applyAlignment="1">
      <alignment horizontal="right" vertical="center"/>
    </xf>
    <xf numFmtId="176" fontId="3" fillId="2" borderId="26" xfId="0" applyNumberFormat="1" applyFont="1" applyFill="1" applyBorder="1" applyAlignment="1">
      <alignment horizontal="right" vertical="center"/>
    </xf>
    <xf numFmtId="176" fontId="3" fillId="2" borderId="27" xfId="0" applyNumberFormat="1" applyFont="1" applyFill="1" applyBorder="1" applyAlignment="1">
      <alignment horizontal="right" vertical="center"/>
    </xf>
    <xf numFmtId="38" fontId="15" fillId="2" borderId="27" xfId="1" applyFont="1" applyFill="1" applyBorder="1">
      <alignment vertical="center"/>
    </xf>
    <xf numFmtId="0" fontId="0" fillId="0" borderId="3" xfId="0" applyBorder="1" applyProtection="1">
      <alignment vertical="center"/>
      <protection locked="0"/>
    </xf>
    <xf numFmtId="0" fontId="0" fillId="0" borderId="14" xfId="0" applyBorder="1" applyProtection="1">
      <alignment vertical="center"/>
      <protection locked="0"/>
    </xf>
    <xf numFmtId="0" fontId="0" fillId="0" borderId="4" xfId="0" applyBorder="1" applyProtection="1">
      <alignment vertical="center"/>
      <protection locked="0"/>
    </xf>
    <xf numFmtId="0" fontId="0" fillId="2" borderId="19" xfId="0" applyFill="1" applyBorder="1" applyAlignment="1">
      <alignment horizontal="center" vertical="center"/>
    </xf>
    <xf numFmtId="0" fontId="0" fillId="0" borderId="23" xfId="0" applyBorder="1" applyProtection="1">
      <alignment vertical="center"/>
      <protection locked="0"/>
    </xf>
    <xf numFmtId="56" fontId="0" fillId="0" borderId="61" xfId="0" applyNumberFormat="1" applyBorder="1" applyProtection="1">
      <alignment vertical="center"/>
      <protection locked="0"/>
    </xf>
    <xf numFmtId="0" fontId="11" fillId="0" borderId="0" xfId="0" applyFont="1" applyAlignment="1">
      <alignment vertical="top"/>
    </xf>
    <xf numFmtId="0" fontId="9" fillId="0" borderId="14" xfId="0" applyFont="1" applyFill="1" applyBorder="1">
      <alignment vertical="center"/>
    </xf>
    <xf numFmtId="0" fontId="9" fillId="0" borderId="14" xfId="0" applyFont="1" applyBorder="1">
      <alignment vertical="center"/>
    </xf>
    <xf numFmtId="38" fontId="13" fillId="2" borderId="3" xfId="1" applyFont="1" applyFill="1" applyBorder="1">
      <alignment vertical="center"/>
    </xf>
    <xf numFmtId="38" fontId="13" fillId="2" borderId="54" xfId="1" applyFont="1" applyFill="1" applyBorder="1">
      <alignment vertical="center"/>
    </xf>
    <xf numFmtId="38" fontId="13" fillId="2" borderId="55" xfId="1" applyFont="1" applyFill="1" applyBorder="1">
      <alignment vertical="center"/>
    </xf>
    <xf numFmtId="0" fontId="5" fillId="2" borderId="45" xfId="0" applyFont="1" applyFill="1" applyBorder="1" applyAlignment="1">
      <alignment horizontal="center" vertical="center"/>
    </xf>
    <xf numFmtId="0" fontId="5" fillId="2" borderId="46" xfId="0" applyFont="1" applyFill="1" applyBorder="1" applyAlignment="1">
      <alignment horizontal="center" vertical="center"/>
    </xf>
    <xf numFmtId="0" fontId="5" fillId="2" borderId="52" xfId="0" applyFont="1" applyFill="1" applyBorder="1" applyAlignment="1">
      <alignment horizontal="center" vertical="center"/>
    </xf>
    <xf numFmtId="0" fontId="5" fillId="2" borderId="47" xfId="0" applyFont="1" applyFill="1" applyBorder="1" applyAlignment="1">
      <alignment horizontal="center" vertical="center"/>
    </xf>
    <xf numFmtId="0" fontId="16" fillId="2" borderId="30" xfId="0" applyFont="1" applyFill="1" applyBorder="1">
      <alignment vertical="center"/>
    </xf>
    <xf numFmtId="56" fontId="0" fillId="0" borderId="20" xfId="0" applyNumberFormat="1" applyBorder="1" applyProtection="1">
      <alignment vertical="center"/>
      <protection locked="0"/>
    </xf>
    <xf numFmtId="0" fontId="17" fillId="2" borderId="14" xfId="0" applyFont="1" applyFill="1" applyBorder="1">
      <alignment vertical="center"/>
    </xf>
    <xf numFmtId="0" fontId="17" fillId="2" borderId="4" xfId="0" applyFont="1" applyFill="1" applyBorder="1">
      <alignment vertical="center"/>
    </xf>
    <xf numFmtId="0" fontId="16" fillId="2" borderId="1" xfId="0" applyFont="1" applyFill="1" applyBorder="1" applyAlignment="1">
      <alignment horizontal="right" vertical="center"/>
    </xf>
    <xf numFmtId="38" fontId="14" fillId="2" borderId="48" xfId="1" applyFont="1" applyFill="1" applyBorder="1">
      <alignment vertical="center"/>
    </xf>
    <xf numFmtId="176" fontId="9" fillId="2" borderId="27" xfId="0" applyNumberFormat="1" applyFont="1" applyFill="1" applyBorder="1">
      <alignment vertical="center"/>
    </xf>
    <xf numFmtId="0" fontId="19" fillId="2" borderId="49" xfId="0" applyFont="1" applyFill="1" applyBorder="1" applyAlignment="1">
      <alignment horizontal="right" vertical="center"/>
    </xf>
    <xf numFmtId="0" fontId="19" fillId="2" borderId="4" xfId="0" applyFont="1" applyFill="1" applyBorder="1" applyAlignment="1">
      <alignment horizontal="right" vertical="center"/>
    </xf>
    <xf numFmtId="38" fontId="13" fillId="0" borderId="1" xfId="1" applyFont="1" applyFill="1" applyBorder="1" applyProtection="1">
      <alignment vertical="center"/>
      <protection locked="0"/>
    </xf>
    <xf numFmtId="38" fontId="13" fillId="0" borderId="25" xfId="1" applyFont="1" applyFill="1" applyBorder="1" applyProtection="1">
      <alignment vertical="center"/>
      <protection locked="0"/>
    </xf>
    <xf numFmtId="0" fontId="5" fillId="0" borderId="40" xfId="0" applyFont="1" applyBorder="1">
      <alignment vertical="center"/>
    </xf>
    <xf numFmtId="0" fontId="5" fillId="0" borderId="40" xfId="0" applyFont="1" applyBorder="1" applyAlignment="1">
      <alignment vertical="center" shrinkToFit="1"/>
    </xf>
    <xf numFmtId="0" fontId="5" fillId="2" borderId="34" xfId="0" applyFont="1" applyFill="1" applyBorder="1">
      <alignment vertical="center"/>
    </xf>
    <xf numFmtId="0" fontId="5" fillId="2" borderId="22" xfId="0" applyFont="1" applyFill="1" applyBorder="1">
      <alignment vertical="center"/>
    </xf>
    <xf numFmtId="0" fontId="5" fillId="2" borderId="4" xfId="0" applyFont="1" applyFill="1" applyBorder="1">
      <alignment vertical="center"/>
    </xf>
    <xf numFmtId="0" fontId="5" fillId="2" borderId="28" xfId="0" applyFont="1" applyFill="1" applyBorder="1" applyAlignment="1">
      <alignment horizontal="right" vertical="center"/>
    </xf>
    <xf numFmtId="0" fontId="5" fillId="2" borderId="19" xfId="0" applyFont="1" applyFill="1" applyBorder="1" applyAlignment="1">
      <alignment horizontal="center" vertical="center" textRotation="255"/>
    </xf>
    <xf numFmtId="0" fontId="0" fillId="0" borderId="24" xfId="0" applyBorder="1" applyAlignment="1">
      <alignment vertical="center" textRotation="255"/>
    </xf>
    <xf numFmtId="0" fontId="0" fillId="0" borderId="26" xfId="0" applyBorder="1" applyAlignment="1">
      <alignment vertical="center" textRotation="255"/>
    </xf>
    <xf numFmtId="0" fontId="5" fillId="2" borderId="24" xfId="0" applyFont="1" applyFill="1" applyBorder="1" applyAlignment="1">
      <alignment horizontal="center" vertical="center" textRotation="255"/>
    </xf>
    <xf numFmtId="0" fontId="5" fillId="2" borderId="26" xfId="0" applyFont="1" applyFill="1" applyBorder="1" applyAlignment="1">
      <alignment horizontal="center" vertical="center" textRotation="255"/>
    </xf>
    <xf numFmtId="0" fontId="5" fillId="2" borderId="19" xfId="0" applyFont="1" applyFill="1" applyBorder="1" applyAlignment="1">
      <alignment horizontal="right" vertical="center"/>
    </xf>
    <xf numFmtId="0" fontId="5" fillId="2" borderId="20" xfId="0" applyFont="1" applyFill="1" applyBorder="1" applyAlignment="1">
      <alignment horizontal="right" vertical="center"/>
    </xf>
    <xf numFmtId="0" fontId="5" fillId="2" borderId="21" xfId="0" applyFont="1" applyFill="1" applyBorder="1" applyAlignment="1">
      <alignment horizontal="right" vertical="center"/>
    </xf>
    <xf numFmtId="0" fontId="18" fillId="0" borderId="40" xfId="0" applyFont="1" applyBorder="1" applyAlignment="1">
      <alignment horizontal="right" vertical="center"/>
    </xf>
    <xf numFmtId="38" fontId="16" fillId="2" borderId="2" xfId="1" applyFont="1" applyFill="1" applyBorder="1">
      <alignment vertical="center"/>
    </xf>
    <xf numFmtId="38" fontId="16" fillId="2" borderId="15" xfId="1" applyFont="1" applyFill="1" applyBorder="1">
      <alignment vertical="center"/>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0"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5" fillId="2" borderId="24" xfId="0" applyFont="1" applyFill="1" applyBorder="1" applyAlignment="1">
      <alignment horizontal="right" vertical="center"/>
    </xf>
    <xf numFmtId="0" fontId="5" fillId="2" borderId="1" xfId="0" applyFont="1" applyFill="1" applyBorder="1" applyAlignment="1">
      <alignment horizontal="righ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211"/>
  <sheetViews>
    <sheetView showGridLines="0" tabSelected="1" zoomScaleNormal="100" workbookViewId="0">
      <selection activeCell="C8" sqref="C8:D8"/>
    </sheetView>
  </sheetViews>
  <sheetFormatPr defaultColWidth="5.875" defaultRowHeight="17.25" customHeight="1"/>
  <cols>
    <col min="23" max="23" width="5.875" customWidth="1"/>
  </cols>
  <sheetData>
    <row r="1" spans="1:23" ht="17.25" customHeight="1">
      <c r="A1" s="196" t="s">
        <v>26</v>
      </c>
      <c r="B1" s="196"/>
      <c r="C1" s="196"/>
      <c r="D1" s="196"/>
      <c r="E1" s="196"/>
      <c r="F1" s="196" t="str">
        <f>IF(C8="","","["&amp;C8&amp;"]")</f>
        <v/>
      </c>
      <c r="G1" s="196"/>
      <c r="H1" s="196"/>
      <c r="I1" s="196"/>
      <c r="J1" s="196"/>
      <c r="R1" s="53" t="s">
        <v>117</v>
      </c>
      <c r="S1" s="53"/>
      <c r="T1" s="53"/>
      <c r="U1" s="53"/>
      <c r="V1" s="53"/>
    </row>
    <row r="2" spans="1:23" ht="17.25" customHeight="1">
      <c r="A2" s="196"/>
      <c r="B2" s="196"/>
      <c r="C2" s="196"/>
      <c r="D2" s="196"/>
      <c r="E2" s="196"/>
      <c r="F2" s="196"/>
      <c r="G2" s="196"/>
      <c r="H2" s="196"/>
      <c r="I2" s="196"/>
      <c r="J2" s="196"/>
      <c r="R2" s="54" t="s">
        <v>118</v>
      </c>
      <c r="S2" s="54"/>
      <c r="T2" s="54"/>
      <c r="U2" s="54"/>
      <c r="V2" s="54"/>
    </row>
    <row r="3" spans="1:23" s="8" customFormat="1" ht="17.25" customHeight="1">
      <c r="R3" s="197" t="s">
        <v>119</v>
      </c>
      <c r="S3" s="197"/>
      <c r="T3" s="198"/>
      <c r="U3" s="198"/>
      <c r="V3" s="198"/>
    </row>
    <row r="4" spans="1:23" s="8" customFormat="1" ht="17.25" customHeight="1">
      <c r="A4" s="42" t="s">
        <v>167</v>
      </c>
      <c r="B4" s="42"/>
      <c r="C4" s="42"/>
      <c r="D4" s="42"/>
      <c r="E4" s="42"/>
      <c r="F4" s="42"/>
      <c r="G4" s="42"/>
      <c r="H4" s="42"/>
      <c r="I4" s="42"/>
      <c r="J4" s="42"/>
      <c r="K4" s="42"/>
      <c r="L4" s="42"/>
      <c r="M4" s="42"/>
      <c r="N4" s="42"/>
      <c r="O4" s="42"/>
      <c r="P4" s="42"/>
      <c r="Q4" s="42"/>
      <c r="R4" s="42"/>
      <c r="S4" s="42"/>
      <c r="T4" s="42"/>
      <c r="U4" s="42"/>
      <c r="V4" s="42"/>
    </row>
    <row r="5" spans="1:23" s="8" customFormat="1" ht="17.25" customHeight="1">
      <c r="A5" s="42" t="s">
        <v>196</v>
      </c>
      <c r="B5" s="42"/>
      <c r="C5" s="42"/>
      <c r="D5" s="42"/>
      <c r="E5" s="42"/>
      <c r="F5" s="42"/>
      <c r="G5" s="42"/>
      <c r="H5" s="42"/>
      <c r="I5" s="42"/>
      <c r="J5" s="42"/>
      <c r="K5" s="42"/>
      <c r="L5" s="42"/>
      <c r="M5" s="42"/>
      <c r="N5" s="42"/>
      <c r="O5" s="42"/>
      <c r="P5" s="42"/>
      <c r="Q5" s="42"/>
      <c r="R5" s="53" t="s">
        <v>171</v>
      </c>
      <c r="S5" s="53"/>
      <c r="T5" s="53"/>
      <c r="U5" s="53"/>
      <c r="V5" s="53"/>
    </row>
    <row r="6" spans="1:23" s="8" customFormat="1" ht="17.25" customHeight="1">
      <c r="A6" s="41" t="s">
        <v>194</v>
      </c>
      <c r="R6" s="54" t="s">
        <v>172</v>
      </c>
      <c r="S6" s="54"/>
      <c r="T6" s="54"/>
      <c r="U6" s="54"/>
      <c r="V6" s="54"/>
    </row>
    <row r="7" spans="1:23" s="14" customFormat="1" ht="17.25" customHeight="1">
      <c r="A7" s="12"/>
      <c r="B7" s="13"/>
    </row>
    <row r="8" spans="1:23" ht="17.25" customHeight="1">
      <c r="A8" s="100" t="s">
        <v>154</v>
      </c>
      <c r="B8" s="70"/>
      <c r="C8" s="130"/>
      <c r="D8" s="130"/>
      <c r="E8" s="106" t="s">
        <v>33</v>
      </c>
      <c r="F8" s="70"/>
      <c r="G8" s="130"/>
      <c r="H8" s="130"/>
      <c r="I8" s="70" t="s">
        <v>34</v>
      </c>
      <c r="J8" s="70"/>
      <c r="K8" s="128"/>
      <c r="L8" s="128"/>
      <c r="M8" s="128"/>
      <c r="N8" s="129"/>
      <c r="O8" s="40" t="s">
        <v>27</v>
      </c>
      <c r="P8" s="104" t="s">
        <v>63</v>
      </c>
      <c r="Q8" s="105"/>
      <c r="R8" s="105"/>
      <c r="S8" s="106"/>
      <c r="T8" s="135"/>
      <c r="U8" s="136"/>
      <c r="V8" s="21" t="s">
        <v>142</v>
      </c>
    </row>
    <row r="9" spans="1:23" ht="17.25" customHeight="1">
      <c r="A9" s="131" t="s">
        <v>35</v>
      </c>
      <c r="B9" s="132"/>
      <c r="C9" s="133"/>
      <c r="D9" s="134"/>
      <c r="E9" s="132" t="s">
        <v>36</v>
      </c>
      <c r="F9" s="132"/>
      <c r="G9" s="50"/>
      <c r="H9" s="51"/>
      <c r="I9" s="51"/>
      <c r="J9" s="51"/>
      <c r="K9" s="51"/>
      <c r="L9" s="51"/>
      <c r="M9" s="51"/>
      <c r="N9" s="51"/>
      <c r="O9" s="51"/>
      <c r="P9" s="51"/>
      <c r="Q9" s="51"/>
      <c r="R9" s="51"/>
      <c r="S9" s="51"/>
      <c r="T9" s="51"/>
      <c r="U9" s="51"/>
      <c r="V9" s="52"/>
    </row>
    <row r="11" spans="1:23" ht="17.25" customHeight="1">
      <c r="A11" s="100" t="s">
        <v>28</v>
      </c>
      <c r="B11" s="70"/>
      <c r="C11" s="31"/>
      <c r="D11" s="27" t="s">
        <v>37</v>
      </c>
      <c r="E11" s="34"/>
      <c r="F11" s="27" t="s">
        <v>38</v>
      </c>
      <c r="G11" s="34"/>
      <c r="H11" s="29" t="s">
        <v>39</v>
      </c>
    </row>
    <row r="12" spans="1:23" ht="17.25" customHeight="1">
      <c r="A12" s="76" t="s">
        <v>29</v>
      </c>
      <c r="B12" s="57"/>
      <c r="C12" s="32"/>
      <c r="D12" s="30" t="s">
        <v>37</v>
      </c>
      <c r="E12" s="35"/>
      <c r="F12" s="30" t="s">
        <v>38</v>
      </c>
      <c r="G12" s="35"/>
      <c r="H12" s="30" t="s">
        <v>39</v>
      </c>
      <c r="I12" s="34"/>
      <c r="J12" s="27" t="s">
        <v>40</v>
      </c>
      <c r="K12" s="37"/>
      <c r="L12" s="28" t="s">
        <v>41</v>
      </c>
      <c r="M12" s="116" t="s">
        <v>66</v>
      </c>
      <c r="N12" s="117"/>
      <c r="O12" s="117"/>
      <c r="P12" s="117"/>
      <c r="Q12" s="117"/>
      <c r="R12" s="117"/>
      <c r="S12" s="117"/>
      <c r="T12" s="117"/>
      <c r="U12" s="117"/>
      <c r="V12" s="118"/>
    </row>
    <row r="13" spans="1:23" ht="17.25" customHeight="1">
      <c r="A13" s="114" t="s">
        <v>30</v>
      </c>
      <c r="B13" s="115"/>
      <c r="C13" s="33"/>
      <c r="D13" s="25" t="s">
        <v>37</v>
      </c>
      <c r="E13" s="36"/>
      <c r="F13" s="25" t="s">
        <v>38</v>
      </c>
      <c r="G13" s="36"/>
      <c r="H13" s="25" t="s">
        <v>39</v>
      </c>
      <c r="I13" s="36"/>
      <c r="J13" s="25" t="s">
        <v>40</v>
      </c>
      <c r="K13" s="38"/>
      <c r="L13" s="26" t="s">
        <v>41</v>
      </c>
      <c r="M13" s="119"/>
      <c r="N13" s="120"/>
      <c r="O13" s="120"/>
      <c r="P13" s="120"/>
      <c r="Q13" s="120"/>
      <c r="R13" s="120"/>
      <c r="S13" s="120"/>
      <c r="T13" s="120"/>
      <c r="U13" s="120"/>
      <c r="V13" s="121"/>
    </row>
    <row r="15" spans="1:23" s="8" customFormat="1" ht="17.25" customHeight="1"/>
    <row r="16" spans="1:23" s="5" customFormat="1" ht="17.25" customHeight="1">
      <c r="A16" s="202" t="s">
        <v>65</v>
      </c>
      <c r="B16" s="203"/>
      <c r="C16" s="203"/>
      <c r="D16" s="203"/>
      <c r="E16" s="203"/>
      <c r="F16" s="203"/>
      <c r="G16" s="203"/>
      <c r="H16" s="203"/>
      <c r="I16" s="205"/>
      <c r="L16" s="149" t="s">
        <v>78</v>
      </c>
      <c r="M16" s="149"/>
      <c r="N16" s="149"/>
      <c r="O16" s="149"/>
      <c r="P16" s="149"/>
      <c r="Q16" s="149"/>
      <c r="R16" s="149"/>
      <c r="S16" s="149"/>
      <c r="T16" s="149"/>
      <c r="U16" s="149"/>
      <c r="V16" s="149"/>
      <c r="W16" s="22"/>
    </row>
    <row r="17" spans="1:29" ht="17.25" customHeight="1">
      <c r="A17" s="202" t="s">
        <v>144</v>
      </c>
      <c r="B17" s="203"/>
      <c r="C17" s="203"/>
      <c r="D17" s="203"/>
      <c r="E17" s="203"/>
      <c r="F17" s="204"/>
      <c r="G17" s="59" t="s">
        <v>50</v>
      </c>
      <c r="H17" s="59"/>
      <c r="I17" s="60"/>
      <c r="L17" s="149" t="s">
        <v>148</v>
      </c>
      <c r="M17" s="149"/>
      <c r="N17" s="149"/>
      <c r="O17" s="149"/>
      <c r="P17" s="149"/>
      <c r="Q17" s="149"/>
      <c r="R17" s="149"/>
      <c r="S17" s="149" t="s">
        <v>71</v>
      </c>
      <c r="T17" s="149"/>
      <c r="U17" s="149" t="s">
        <v>49</v>
      </c>
      <c r="V17" s="149"/>
      <c r="W17" s="22"/>
    </row>
    <row r="18" spans="1:29" ht="17.25" customHeight="1">
      <c r="A18" s="223" t="s">
        <v>115</v>
      </c>
      <c r="B18" s="20" t="s">
        <v>96</v>
      </c>
      <c r="C18" s="219" t="s">
        <v>17</v>
      </c>
      <c r="D18" s="219"/>
      <c r="E18" s="219"/>
      <c r="F18" s="220"/>
      <c r="G18" s="63">
        <f>I61</f>
        <v>0</v>
      </c>
      <c r="H18" s="64"/>
      <c r="I18" s="21" t="s">
        <v>67</v>
      </c>
      <c r="L18" s="47" t="s">
        <v>145</v>
      </c>
      <c r="M18" s="47"/>
      <c r="N18" s="47"/>
      <c r="O18" s="47"/>
      <c r="P18" s="47"/>
      <c r="Q18" s="47"/>
      <c r="R18" s="47"/>
      <c r="S18" s="47" t="s">
        <v>160</v>
      </c>
      <c r="T18" s="47"/>
      <c r="U18" s="167">
        <f>G18+G19+G20+G21</f>
        <v>0</v>
      </c>
      <c r="V18" s="167"/>
      <c r="W18" s="23"/>
    </row>
    <row r="19" spans="1:29" ht="17.25" customHeight="1">
      <c r="A19" s="226"/>
      <c r="B19" s="18" t="s">
        <v>98</v>
      </c>
      <c r="C19" s="161" t="s">
        <v>88</v>
      </c>
      <c r="D19" s="161"/>
      <c r="E19" s="161"/>
      <c r="F19" s="221"/>
      <c r="G19" s="151">
        <f>S88</f>
        <v>0</v>
      </c>
      <c r="H19" s="199"/>
      <c r="I19" s="17" t="s">
        <v>67</v>
      </c>
      <c r="L19" s="47" t="s">
        <v>146</v>
      </c>
      <c r="M19" s="47"/>
      <c r="N19" s="47"/>
      <c r="O19" s="47"/>
      <c r="P19" s="47"/>
      <c r="Q19" s="47"/>
      <c r="R19" s="47"/>
      <c r="S19" s="47" t="s">
        <v>192</v>
      </c>
      <c r="T19" s="47"/>
      <c r="U19" s="167">
        <f>G25+G26</f>
        <v>0</v>
      </c>
      <c r="V19" s="167"/>
      <c r="W19" s="22"/>
    </row>
    <row r="20" spans="1:29" ht="17.25" customHeight="1">
      <c r="A20" s="226"/>
      <c r="B20" s="18" t="s">
        <v>101</v>
      </c>
      <c r="C20" s="161" t="s">
        <v>89</v>
      </c>
      <c r="D20" s="161"/>
      <c r="E20" s="161"/>
      <c r="F20" s="221"/>
      <c r="G20" s="151">
        <f>S98</f>
        <v>0</v>
      </c>
      <c r="H20" s="199"/>
      <c r="I20" s="17" t="s">
        <v>67</v>
      </c>
      <c r="L20" s="47" t="s">
        <v>147</v>
      </c>
      <c r="M20" s="47"/>
      <c r="N20" s="47"/>
      <c r="O20" s="47"/>
      <c r="P20" s="47"/>
      <c r="Q20" s="47"/>
      <c r="R20" s="47"/>
      <c r="S20" s="47" t="s">
        <v>170</v>
      </c>
      <c r="T20" s="47"/>
      <c r="U20" s="167">
        <f>G22</f>
        <v>0</v>
      </c>
      <c r="V20" s="167"/>
      <c r="W20" s="22"/>
    </row>
    <row r="21" spans="1:29" ht="17.25" customHeight="1">
      <c r="A21" s="226"/>
      <c r="B21" s="18" t="s">
        <v>102</v>
      </c>
      <c r="C21" s="161" t="s">
        <v>90</v>
      </c>
      <c r="D21" s="161"/>
      <c r="E21" s="161"/>
      <c r="F21" s="221"/>
      <c r="G21" s="151">
        <f>S110</f>
        <v>0</v>
      </c>
      <c r="H21" s="199"/>
      <c r="I21" s="17" t="s">
        <v>67</v>
      </c>
      <c r="L21" s="47" t="s">
        <v>143</v>
      </c>
      <c r="M21" s="47"/>
      <c r="N21" s="47"/>
      <c r="O21" s="47"/>
      <c r="P21" s="47"/>
      <c r="Q21" s="47"/>
      <c r="R21" s="47"/>
      <c r="S21" s="47" t="s">
        <v>193</v>
      </c>
      <c r="T21" s="47"/>
      <c r="U21" s="167">
        <f>G27</f>
        <v>0</v>
      </c>
      <c r="V21" s="167"/>
      <c r="W21" s="22"/>
    </row>
    <row r="22" spans="1:29" s="1" customFormat="1" ht="17.25" customHeight="1">
      <c r="A22" s="226"/>
      <c r="B22" s="18" t="s">
        <v>104</v>
      </c>
      <c r="C22" s="161" t="s">
        <v>91</v>
      </c>
      <c r="D22" s="161"/>
      <c r="E22" s="161"/>
      <c r="F22" s="221"/>
      <c r="G22" s="151">
        <f>S119</f>
        <v>0</v>
      </c>
      <c r="H22" s="199"/>
      <c r="I22" s="17" t="s">
        <v>67</v>
      </c>
      <c r="L22" s="43" t="s">
        <v>133</v>
      </c>
      <c r="M22" s="44"/>
      <c r="N22" s="44"/>
      <c r="O22" s="44"/>
      <c r="P22" s="44"/>
      <c r="Q22" s="45" t="str">
        <f t="shared" ref="Q22:Q27" si="0">LEFTB(L22,5)&amp;S22</f>
        <v>72300V2</v>
      </c>
      <c r="R22" s="46"/>
      <c r="S22" s="47" t="s">
        <v>72</v>
      </c>
      <c r="T22" s="47"/>
      <c r="U22" s="48">
        <f t="shared" ref="U22:U29" si="1">IF($T$128=Q22,$T$127,0)+IF($T$135=Q22,$T$134,0)+IF($T$142=Q22,$T$141,0)+IF($T$149=Q22,$T$148,0)+IF($T$186=Q22,$T$185,0)+IF($T$192=Q22,$T$191,0)+IF($T$198=Q22,$T$197,0)+IF($T$204=Q22,$T$203,0)</f>
        <v>0</v>
      </c>
      <c r="V22" s="49"/>
      <c r="W22" s="22"/>
      <c r="AC22" s="8"/>
    </row>
    <row r="23" spans="1:29" ht="17.25" customHeight="1" thickBot="1">
      <c r="A23" s="226"/>
      <c r="B23" s="18" t="s">
        <v>105</v>
      </c>
      <c r="C23" s="161" t="s">
        <v>135</v>
      </c>
      <c r="D23" s="161"/>
      <c r="E23" s="161"/>
      <c r="F23" s="221"/>
      <c r="G23" s="61">
        <f>T127+T134+T141+T148</f>
        <v>0</v>
      </c>
      <c r="H23" s="62"/>
      <c r="I23" s="17" t="s">
        <v>67</v>
      </c>
      <c r="L23" s="43" t="s">
        <v>133</v>
      </c>
      <c r="M23" s="44"/>
      <c r="N23" s="44"/>
      <c r="O23" s="44"/>
      <c r="P23" s="44"/>
      <c r="Q23" s="45" t="str">
        <f t="shared" si="0"/>
        <v>72300VJ</v>
      </c>
      <c r="R23" s="46"/>
      <c r="S23" s="47" t="s">
        <v>193</v>
      </c>
      <c r="T23" s="47"/>
      <c r="U23" s="48">
        <f t="shared" si="1"/>
        <v>0</v>
      </c>
      <c r="V23" s="49"/>
      <c r="W23" s="22"/>
      <c r="AC23" s="8"/>
    </row>
    <row r="24" spans="1:29" ht="17.25" customHeight="1" thickBot="1">
      <c r="A24" s="227"/>
      <c r="B24" s="186" t="s">
        <v>139</v>
      </c>
      <c r="C24" s="186"/>
      <c r="D24" s="186"/>
      <c r="E24" s="186"/>
      <c r="F24" s="222"/>
      <c r="G24" s="200">
        <f>SUM(G18:H23)</f>
        <v>0</v>
      </c>
      <c r="H24" s="201"/>
      <c r="I24" s="16" t="s">
        <v>67</v>
      </c>
      <c r="L24" s="43" t="s">
        <v>133</v>
      </c>
      <c r="M24" s="44"/>
      <c r="N24" s="44"/>
      <c r="O24" s="44"/>
      <c r="P24" s="44"/>
      <c r="Q24" s="45" t="str">
        <f t="shared" si="0"/>
        <v>72300VH</v>
      </c>
      <c r="R24" s="46"/>
      <c r="S24" s="47" t="s">
        <v>191</v>
      </c>
      <c r="T24" s="47"/>
      <c r="U24" s="48">
        <f t="shared" si="1"/>
        <v>0</v>
      </c>
      <c r="V24" s="49"/>
      <c r="W24" s="22"/>
      <c r="AC24" s="8"/>
    </row>
    <row r="25" spans="1:29" ht="17.25" customHeight="1">
      <c r="A25" s="223" t="s">
        <v>116</v>
      </c>
      <c r="B25" s="20" t="s">
        <v>106</v>
      </c>
      <c r="C25" s="219" t="s">
        <v>92</v>
      </c>
      <c r="D25" s="219"/>
      <c r="E25" s="219"/>
      <c r="F25" s="220"/>
      <c r="G25" s="178">
        <f>S162</f>
        <v>0</v>
      </c>
      <c r="H25" s="179"/>
      <c r="I25" s="21" t="s">
        <v>67</v>
      </c>
      <c r="L25" s="43" t="s">
        <v>133</v>
      </c>
      <c r="M25" s="44"/>
      <c r="N25" s="44"/>
      <c r="O25" s="44"/>
      <c r="P25" s="44"/>
      <c r="Q25" s="45" t="str">
        <f t="shared" si="0"/>
        <v>72300V1</v>
      </c>
      <c r="R25" s="46"/>
      <c r="S25" s="47" t="s">
        <v>125</v>
      </c>
      <c r="T25" s="47"/>
      <c r="U25" s="48">
        <f t="shared" si="1"/>
        <v>0</v>
      </c>
      <c r="V25" s="49"/>
      <c r="W25" s="22"/>
      <c r="AC25" s="8"/>
    </row>
    <row r="26" spans="1:29" ht="17.25" customHeight="1">
      <c r="A26" s="224"/>
      <c r="B26" s="18" t="s">
        <v>110</v>
      </c>
      <c r="C26" s="161" t="s">
        <v>93</v>
      </c>
      <c r="D26" s="161"/>
      <c r="E26" s="161"/>
      <c r="F26" s="221"/>
      <c r="G26" s="151">
        <f>S170</f>
        <v>0</v>
      </c>
      <c r="H26" s="199"/>
      <c r="I26" s="17" t="s">
        <v>67</v>
      </c>
      <c r="L26" s="43" t="s">
        <v>132</v>
      </c>
      <c r="M26" s="44"/>
      <c r="N26" s="44"/>
      <c r="O26" s="44"/>
      <c r="P26" s="44"/>
      <c r="Q26" s="45" t="str">
        <f t="shared" si="0"/>
        <v>73900V2</v>
      </c>
      <c r="R26" s="46"/>
      <c r="S26" s="47" t="s">
        <v>72</v>
      </c>
      <c r="T26" s="47"/>
      <c r="U26" s="48">
        <f t="shared" si="1"/>
        <v>0</v>
      </c>
      <c r="V26" s="49"/>
      <c r="W26" s="22"/>
      <c r="AC26" s="8"/>
    </row>
    <row r="27" spans="1:29" ht="17.25" customHeight="1">
      <c r="A27" s="224"/>
      <c r="B27" s="18" t="s">
        <v>111</v>
      </c>
      <c r="C27" s="161" t="s">
        <v>94</v>
      </c>
      <c r="D27" s="161"/>
      <c r="E27" s="161"/>
      <c r="F27" s="221"/>
      <c r="G27" s="151">
        <f>S178</f>
        <v>0</v>
      </c>
      <c r="H27" s="199"/>
      <c r="I27" s="17" t="s">
        <v>67</v>
      </c>
      <c r="L27" s="43" t="s">
        <v>132</v>
      </c>
      <c r="M27" s="44"/>
      <c r="N27" s="44"/>
      <c r="O27" s="44"/>
      <c r="P27" s="44"/>
      <c r="Q27" s="45" t="str">
        <f t="shared" si="0"/>
        <v>73900VJ</v>
      </c>
      <c r="R27" s="46"/>
      <c r="S27" s="47" t="s">
        <v>192</v>
      </c>
      <c r="T27" s="47"/>
      <c r="U27" s="48">
        <f t="shared" si="1"/>
        <v>0</v>
      </c>
      <c r="V27" s="49"/>
      <c r="W27" s="22"/>
      <c r="AC27" s="8"/>
    </row>
    <row r="28" spans="1:29" s="1" customFormat="1" ht="17.25" customHeight="1" thickBot="1">
      <c r="A28" s="224"/>
      <c r="B28" s="18" t="s">
        <v>112</v>
      </c>
      <c r="C28" s="161" t="s">
        <v>140</v>
      </c>
      <c r="D28" s="161"/>
      <c r="E28" s="161"/>
      <c r="F28" s="221"/>
      <c r="G28" s="61">
        <f>T185+T191+T197+T203</f>
        <v>0</v>
      </c>
      <c r="H28" s="62"/>
      <c r="I28" s="17" t="s">
        <v>67</v>
      </c>
      <c r="L28" s="43" t="s">
        <v>132</v>
      </c>
      <c r="M28" s="44"/>
      <c r="N28" s="44"/>
      <c r="O28" s="44"/>
      <c r="P28" s="44"/>
      <c r="Q28" s="45" t="str">
        <f t="shared" ref="Q28" si="2">LEFTB(L28,5)&amp;S28</f>
        <v>73900VH</v>
      </c>
      <c r="R28" s="46"/>
      <c r="S28" s="47" t="s">
        <v>191</v>
      </c>
      <c r="T28" s="47"/>
      <c r="U28" s="48">
        <f t="shared" si="1"/>
        <v>0</v>
      </c>
      <c r="V28" s="49"/>
      <c r="W28" s="22"/>
    </row>
    <row r="29" spans="1:29" s="1" customFormat="1" ht="17.25" customHeight="1" thickBot="1">
      <c r="A29" s="225"/>
      <c r="B29" s="186" t="s">
        <v>141</v>
      </c>
      <c r="C29" s="186"/>
      <c r="D29" s="186"/>
      <c r="E29" s="186"/>
      <c r="F29" s="222"/>
      <c r="G29" s="123">
        <f>SUM(G25:H28)</f>
        <v>0</v>
      </c>
      <c r="H29" s="124"/>
      <c r="I29" s="16" t="s">
        <v>67</v>
      </c>
      <c r="L29" s="43" t="s">
        <v>132</v>
      </c>
      <c r="M29" s="44"/>
      <c r="N29" s="44"/>
      <c r="O29" s="44"/>
      <c r="P29" s="44"/>
      <c r="Q29" s="208" t="str">
        <f>LEFTB(L29,5)&amp;S29</f>
        <v>73900V1</v>
      </c>
      <c r="R29" s="209"/>
      <c r="S29" s="47" t="s">
        <v>125</v>
      </c>
      <c r="T29" s="47"/>
      <c r="U29" s="232">
        <f t="shared" si="1"/>
        <v>0</v>
      </c>
      <c r="V29" s="233"/>
    </row>
    <row r="30" spans="1:29" s="8" customFormat="1" ht="17.25" customHeight="1" thickTop="1" thickBot="1">
      <c r="A30" s="228" t="s">
        <v>62</v>
      </c>
      <c r="B30" s="229"/>
      <c r="C30" s="229"/>
      <c r="D30" s="229"/>
      <c r="E30" s="229"/>
      <c r="F30" s="230"/>
      <c r="G30" s="169">
        <f>G24+G29</f>
        <v>0</v>
      </c>
      <c r="H30" s="170"/>
      <c r="I30" s="21" t="s">
        <v>67</v>
      </c>
      <c r="L30" s="156" t="s">
        <v>73</v>
      </c>
      <c r="M30" s="156"/>
      <c r="N30" s="156"/>
      <c r="O30" s="156"/>
      <c r="P30" s="156"/>
      <c r="Q30" s="156"/>
      <c r="R30" s="156"/>
      <c r="S30" s="156"/>
      <c r="T30" s="157"/>
      <c r="U30" s="180">
        <f>SUM(U18:V29)</f>
        <v>0</v>
      </c>
      <c r="V30" s="181"/>
    </row>
    <row r="31" spans="1:29" s="8" customFormat="1" ht="17.25" customHeight="1" thickTop="1" thickBot="1">
      <c r="A31" s="243" t="s">
        <v>63</v>
      </c>
      <c r="B31" s="244"/>
      <c r="C31" s="244"/>
      <c r="D31" s="244"/>
      <c r="E31" s="244"/>
      <c r="F31" s="244"/>
      <c r="G31" s="171">
        <f>T8</f>
        <v>0</v>
      </c>
      <c r="H31" s="172"/>
      <c r="I31" s="17" t="s">
        <v>67</v>
      </c>
      <c r="L31" s="210" t="s">
        <v>153</v>
      </c>
      <c r="M31" s="210"/>
      <c r="N31" s="210"/>
      <c r="O31" s="210"/>
      <c r="P31" s="210"/>
      <c r="Q31" s="210"/>
      <c r="R31" s="210"/>
      <c r="S31" s="210"/>
      <c r="T31" s="210"/>
      <c r="U31" s="211">
        <f>SUM(U22:V29)</f>
        <v>0</v>
      </c>
      <c r="V31" s="211"/>
    </row>
    <row r="32" spans="1:29" s="8" customFormat="1" ht="17.25" customHeight="1" thickTop="1" thickBot="1">
      <c r="A32" s="185" t="s">
        <v>64</v>
      </c>
      <c r="B32" s="186"/>
      <c r="C32" s="186"/>
      <c r="D32" s="186"/>
      <c r="E32" s="186"/>
      <c r="F32" s="222"/>
      <c r="G32" s="173">
        <f>G30-G31</f>
        <v>0</v>
      </c>
      <c r="H32" s="174"/>
      <c r="I32" s="16" t="s">
        <v>67</v>
      </c>
    </row>
    <row r="33" spans="1:22" s="8" customFormat="1" ht="17.25" customHeight="1" thickTop="1"/>
    <row r="34" spans="1:22" s="8" customFormat="1" ht="17.25" customHeight="1"/>
    <row r="35" spans="1:22" s="8" customFormat="1" ht="17.25" customHeight="1">
      <c r="C35" s="175" t="s">
        <v>123</v>
      </c>
      <c r="D35" s="176"/>
      <c r="E35" s="177"/>
      <c r="F35" s="175" t="s">
        <v>114</v>
      </c>
      <c r="G35" s="176"/>
      <c r="H35" s="177"/>
      <c r="J35" s="175" t="s">
        <v>68</v>
      </c>
      <c r="K35" s="176"/>
      <c r="L35" s="177"/>
      <c r="M35" s="175" t="s">
        <v>69</v>
      </c>
      <c r="N35" s="176"/>
      <c r="O35" s="177"/>
      <c r="P35"/>
      <c r="Q35" s="175" t="s">
        <v>70</v>
      </c>
      <c r="R35" s="176"/>
      <c r="S35" s="177"/>
      <c r="T35" s="175" t="s">
        <v>120</v>
      </c>
      <c r="U35" s="176"/>
      <c r="V35" s="177"/>
    </row>
    <row r="36" spans="1:22" s="8" customFormat="1" ht="17.25" customHeight="1">
      <c r="C36" s="83"/>
      <c r="D36" s="84"/>
      <c r="E36" s="85"/>
      <c r="F36" s="83"/>
      <c r="G36" s="84"/>
      <c r="H36" s="85"/>
      <c r="J36" s="83"/>
      <c r="K36" s="84"/>
      <c r="L36" s="85"/>
      <c r="M36" s="83"/>
      <c r="N36" s="84"/>
      <c r="O36" s="85"/>
      <c r="P36"/>
      <c r="Q36" s="83"/>
      <c r="R36" s="84"/>
      <c r="S36" s="85"/>
      <c r="T36" s="83"/>
      <c r="U36" s="84"/>
      <c r="V36" s="85"/>
    </row>
    <row r="37" spans="1:22" s="8" customFormat="1" ht="17.25" customHeight="1">
      <c r="C37" s="83"/>
      <c r="D37" s="84"/>
      <c r="E37" s="85"/>
      <c r="F37" s="83"/>
      <c r="G37" s="84"/>
      <c r="H37" s="85"/>
      <c r="J37" s="83"/>
      <c r="K37" s="84"/>
      <c r="L37" s="85"/>
      <c r="M37" s="83"/>
      <c r="N37" s="84"/>
      <c r="O37" s="85"/>
      <c r="Q37" s="83"/>
      <c r="R37" s="84"/>
      <c r="S37" s="85"/>
      <c r="T37" s="83"/>
      <c r="U37" s="84"/>
      <c r="V37" s="85"/>
    </row>
    <row r="38" spans="1:22" s="8" customFormat="1" ht="17.25" customHeight="1">
      <c r="C38" s="83"/>
      <c r="D38" s="84"/>
      <c r="E38" s="85"/>
      <c r="F38" s="83"/>
      <c r="G38" s="84"/>
      <c r="H38" s="85"/>
      <c r="J38" s="83"/>
      <c r="K38" s="84"/>
      <c r="L38" s="85"/>
      <c r="M38" s="83"/>
      <c r="N38" s="84"/>
      <c r="O38" s="85"/>
      <c r="Q38" s="83"/>
      <c r="R38" s="84"/>
      <c r="S38" s="85"/>
      <c r="T38" s="83"/>
      <c r="U38" s="84"/>
      <c r="V38" s="85"/>
    </row>
    <row r="39" spans="1:22" s="8" customFormat="1" ht="17.25" customHeight="1">
      <c r="C39" s="86"/>
      <c r="D39" s="87"/>
      <c r="E39" s="88"/>
      <c r="F39" s="86"/>
      <c r="G39" s="87"/>
      <c r="H39" s="88"/>
      <c r="J39" s="86"/>
      <c r="K39" s="87"/>
      <c r="L39" s="88"/>
      <c r="M39" s="86"/>
      <c r="N39" s="87"/>
      <c r="O39" s="88"/>
      <c r="Q39" s="86"/>
      <c r="R39" s="87"/>
      <c r="S39" s="88"/>
      <c r="T39" s="86"/>
      <c r="U39" s="87"/>
      <c r="V39" s="88"/>
    </row>
    <row r="40" spans="1:22" s="8" customFormat="1" ht="17.25" customHeight="1">
      <c r="A40" s="11"/>
      <c r="B40" s="11"/>
      <c r="C40" s="11"/>
      <c r="D40" s="11"/>
      <c r="E40" s="11"/>
      <c r="F40" s="11"/>
      <c r="G40" s="11"/>
      <c r="H40" s="11"/>
      <c r="I40" s="11"/>
      <c r="J40" s="11"/>
      <c r="K40" s="11"/>
      <c r="L40" s="11"/>
      <c r="M40" s="11"/>
      <c r="N40" s="11"/>
      <c r="O40" s="11"/>
      <c r="P40" s="11"/>
      <c r="Q40" s="11"/>
      <c r="R40" s="11"/>
      <c r="S40" s="11"/>
      <c r="T40" s="11"/>
      <c r="U40" s="11"/>
      <c r="V40" s="11"/>
    </row>
    <row r="41" spans="1:22" s="8" customFormat="1" ht="17.25" customHeight="1"/>
    <row r="42" spans="1:22" s="5" customFormat="1" ht="17.25" customHeight="1">
      <c r="A42" s="125" t="s">
        <v>0</v>
      </c>
      <c r="B42" s="125"/>
      <c r="C42" s="125"/>
      <c r="D42" s="42" t="s">
        <v>80</v>
      </c>
      <c r="E42" s="42"/>
      <c r="F42" s="42"/>
      <c r="G42" s="42"/>
      <c r="H42" s="42"/>
      <c r="I42" s="42"/>
      <c r="J42" s="42"/>
      <c r="K42" s="42"/>
      <c r="L42" s="42"/>
      <c r="M42" s="42"/>
      <c r="N42" s="42"/>
      <c r="O42" s="42"/>
      <c r="P42" s="42"/>
      <c r="Q42" s="42"/>
      <c r="R42" s="42"/>
      <c r="S42" s="42"/>
      <c r="T42" s="42"/>
      <c r="U42" s="42"/>
      <c r="V42" s="42"/>
    </row>
    <row r="43" spans="1:22" s="5" customFormat="1" ht="27.75" customHeight="1">
      <c r="A43" s="107" t="s">
        <v>12</v>
      </c>
      <c r="B43" s="66"/>
      <c r="C43" s="70" t="s">
        <v>2</v>
      </c>
      <c r="D43" s="70"/>
      <c r="E43" s="70" t="s">
        <v>3</v>
      </c>
      <c r="F43" s="70"/>
      <c r="G43" s="66" t="s">
        <v>79</v>
      </c>
      <c r="H43" s="66"/>
      <c r="I43" s="127"/>
      <c r="J43"/>
      <c r="K43" s="234" t="s">
        <v>173</v>
      </c>
      <c r="L43" s="235"/>
      <c r="M43" s="235"/>
      <c r="N43" s="235"/>
      <c r="O43" s="235"/>
      <c r="P43" s="235"/>
      <c r="Q43" s="235"/>
      <c r="R43" s="235"/>
      <c r="S43" s="235"/>
      <c r="T43" s="235"/>
      <c r="U43" s="235"/>
      <c r="V43" s="236"/>
    </row>
    <row r="44" spans="1:22" s="8" customFormat="1" ht="17.25" customHeight="1">
      <c r="A44" s="213" t="s">
        <v>158</v>
      </c>
      <c r="B44" s="214"/>
      <c r="C44" s="108">
        <v>43191</v>
      </c>
      <c r="D44" s="108"/>
      <c r="E44" s="109" t="s">
        <v>159</v>
      </c>
      <c r="F44" s="109"/>
      <c r="G44" s="110">
        <v>14.18</v>
      </c>
      <c r="H44" s="110"/>
      <c r="I44" s="111"/>
      <c r="K44" s="237"/>
      <c r="L44" s="238"/>
      <c r="M44" s="238"/>
      <c r="N44" s="238"/>
      <c r="O44" s="238"/>
      <c r="P44" s="238"/>
      <c r="Q44" s="238"/>
      <c r="R44" s="238"/>
      <c r="S44" s="238"/>
      <c r="T44" s="238"/>
      <c r="U44" s="238"/>
      <c r="V44" s="239"/>
    </row>
    <row r="45" spans="1:22" s="5" customFormat="1" ht="17.25" customHeight="1">
      <c r="A45" s="79">
        <v>1</v>
      </c>
      <c r="B45" s="80"/>
      <c r="C45" s="65"/>
      <c r="D45" s="65"/>
      <c r="E45" s="58"/>
      <c r="F45" s="58"/>
      <c r="G45" s="91"/>
      <c r="H45" s="92"/>
      <c r="I45" s="93"/>
      <c r="J45"/>
      <c r="K45" s="237"/>
      <c r="L45" s="238"/>
      <c r="M45" s="238"/>
      <c r="N45" s="238"/>
      <c r="O45" s="238"/>
      <c r="P45" s="238"/>
      <c r="Q45" s="238"/>
      <c r="R45" s="238"/>
      <c r="S45" s="238"/>
      <c r="T45" s="238"/>
      <c r="U45" s="238"/>
      <c r="V45" s="239"/>
    </row>
    <row r="46" spans="1:22" s="5" customFormat="1" ht="17.25" customHeight="1">
      <c r="A46" s="79">
        <v>2</v>
      </c>
      <c r="B46" s="80"/>
      <c r="C46" s="65"/>
      <c r="D46" s="65"/>
      <c r="E46" s="58"/>
      <c r="F46" s="58"/>
      <c r="G46" s="91"/>
      <c r="H46" s="92"/>
      <c r="I46" s="93"/>
      <c r="J46"/>
      <c r="K46" s="237"/>
      <c r="L46" s="238"/>
      <c r="M46" s="238"/>
      <c r="N46" s="238"/>
      <c r="O46" s="238"/>
      <c r="P46" s="238"/>
      <c r="Q46" s="238"/>
      <c r="R46" s="238"/>
      <c r="S46" s="238"/>
      <c r="T46" s="238"/>
      <c r="U46" s="238"/>
      <c r="V46" s="239"/>
    </row>
    <row r="47" spans="1:22" s="5" customFormat="1" ht="17.25" customHeight="1">
      <c r="A47" s="79">
        <v>3</v>
      </c>
      <c r="B47" s="80"/>
      <c r="C47" s="65"/>
      <c r="D47" s="65"/>
      <c r="E47" s="58"/>
      <c r="F47" s="58"/>
      <c r="G47" s="91"/>
      <c r="H47" s="92"/>
      <c r="I47" s="93"/>
      <c r="J47"/>
      <c r="K47" s="237"/>
      <c r="L47" s="238"/>
      <c r="M47" s="238"/>
      <c r="N47" s="238"/>
      <c r="O47" s="238"/>
      <c r="P47" s="238"/>
      <c r="Q47" s="238"/>
      <c r="R47" s="238"/>
      <c r="S47" s="238"/>
      <c r="T47" s="238"/>
      <c r="U47" s="238"/>
      <c r="V47" s="239"/>
    </row>
    <row r="48" spans="1:22" s="5" customFormat="1" ht="17.25" customHeight="1">
      <c r="A48" s="79">
        <v>4</v>
      </c>
      <c r="B48" s="80"/>
      <c r="C48" s="65"/>
      <c r="D48" s="65"/>
      <c r="E48" s="58"/>
      <c r="F48" s="58"/>
      <c r="G48" s="91"/>
      <c r="H48" s="92"/>
      <c r="I48" s="93"/>
      <c r="J48"/>
      <c r="K48" s="237"/>
      <c r="L48" s="238"/>
      <c r="M48" s="238"/>
      <c r="N48" s="238"/>
      <c r="O48" s="238"/>
      <c r="P48" s="238"/>
      <c r="Q48" s="238"/>
      <c r="R48" s="238"/>
      <c r="S48" s="238"/>
      <c r="T48" s="238"/>
      <c r="U48" s="238"/>
      <c r="V48" s="239"/>
    </row>
    <row r="49" spans="1:22" s="5" customFormat="1" ht="17.25" customHeight="1">
      <c r="A49" s="79">
        <v>5</v>
      </c>
      <c r="B49" s="80"/>
      <c r="C49" s="65"/>
      <c r="D49" s="65"/>
      <c r="E49" s="58"/>
      <c r="F49" s="58"/>
      <c r="G49" s="91"/>
      <c r="H49" s="92"/>
      <c r="I49" s="93"/>
      <c r="J49"/>
      <c r="K49" s="237"/>
      <c r="L49" s="238"/>
      <c r="M49" s="238"/>
      <c r="N49" s="238"/>
      <c r="O49" s="238"/>
      <c r="P49" s="238"/>
      <c r="Q49" s="238"/>
      <c r="R49" s="238"/>
      <c r="S49" s="238"/>
      <c r="T49" s="238"/>
      <c r="U49" s="238"/>
      <c r="V49" s="239"/>
    </row>
    <row r="50" spans="1:22" s="5" customFormat="1" ht="17.25" customHeight="1">
      <c r="A50" s="79">
        <v>6</v>
      </c>
      <c r="B50" s="80"/>
      <c r="C50" s="65"/>
      <c r="D50" s="65"/>
      <c r="E50" s="58"/>
      <c r="F50" s="58"/>
      <c r="G50" s="91"/>
      <c r="H50" s="92"/>
      <c r="I50" s="93"/>
      <c r="J50"/>
      <c r="K50" s="237"/>
      <c r="L50" s="238"/>
      <c r="M50" s="238"/>
      <c r="N50" s="238"/>
      <c r="O50" s="238"/>
      <c r="P50" s="238"/>
      <c r="Q50" s="238"/>
      <c r="R50" s="238"/>
      <c r="S50" s="238"/>
      <c r="T50" s="238"/>
      <c r="U50" s="238"/>
      <c r="V50" s="239"/>
    </row>
    <row r="51" spans="1:22" s="5" customFormat="1" ht="17.25" customHeight="1">
      <c r="A51" s="102">
        <v>7</v>
      </c>
      <c r="B51" s="103"/>
      <c r="C51" s="101"/>
      <c r="D51" s="101"/>
      <c r="E51" s="97"/>
      <c r="F51" s="97"/>
      <c r="G51" s="94"/>
      <c r="H51" s="95"/>
      <c r="I51" s="96"/>
      <c r="J51"/>
      <c r="K51" s="240"/>
      <c r="L51" s="241"/>
      <c r="M51" s="241"/>
      <c r="N51" s="241"/>
      <c r="O51" s="241"/>
      <c r="P51" s="241"/>
      <c r="Q51" s="241"/>
      <c r="R51" s="241"/>
      <c r="S51" s="241"/>
      <c r="T51" s="241"/>
      <c r="U51" s="241"/>
      <c r="V51" s="242"/>
    </row>
    <row r="52" spans="1:22" s="5" customFormat="1" ht="17.25" customHeight="1"/>
    <row r="53" spans="1:22" s="8" customFormat="1" ht="17.25" customHeight="1">
      <c r="A53" s="10"/>
      <c r="B53" s="10"/>
      <c r="C53" s="10"/>
      <c r="D53" s="10"/>
      <c r="E53" s="10"/>
      <c r="F53" s="10"/>
      <c r="G53" s="10"/>
      <c r="H53" s="10"/>
      <c r="I53" s="10"/>
      <c r="J53" s="10"/>
      <c r="K53" s="10"/>
      <c r="L53" s="10"/>
      <c r="M53" s="10"/>
      <c r="N53" s="10"/>
      <c r="O53" s="10"/>
      <c r="P53" s="10"/>
      <c r="Q53" s="10"/>
      <c r="R53" s="10"/>
      <c r="S53" s="10"/>
      <c r="T53" s="10"/>
      <c r="U53" s="10"/>
      <c r="V53" s="10"/>
    </row>
    <row r="54" spans="1:22" ht="17.25" customHeight="1">
      <c r="A54" s="122" t="s">
        <v>108</v>
      </c>
      <c r="B54" s="122"/>
      <c r="C54" s="122"/>
      <c r="D54" s="122"/>
      <c r="E54" s="122"/>
      <c r="F54" s="122"/>
      <c r="G54" s="122"/>
      <c r="H54" s="122"/>
      <c r="I54" s="122"/>
      <c r="J54" s="122"/>
      <c r="K54" s="122"/>
      <c r="L54" s="122"/>
      <c r="M54" s="122"/>
      <c r="N54" s="122"/>
      <c r="O54" s="122"/>
      <c r="P54" s="122"/>
      <c r="Q54" s="122"/>
      <c r="R54" s="122"/>
      <c r="S54" s="122"/>
      <c r="T54" s="122"/>
      <c r="U54" s="122"/>
      <c r="V54" s="122"/>
    </row>
    <row r="55" spans="1:22" s="6" customFormat="1" ht="17.25" customHeight="1"/>
    <row r="56" spans="1:22" s="1" customFormat="1" ht="17.25" customHeight="1">
      <c r="A56" s="125" t="s">
        <v>95</v>
      </c>
      <c r="B56" s="125"/>
      <c r="C56" s="125"/>
      <c r="D56" s="126" t="s">
        <v>42</v>
      </c>
      <c r="E56" s="126"/>
      <c r="F56" s="126"/>
      <c r="G56" s="126"/>
      <c r="H56" s="126"/>
      <c r="I56" s="126"/>
      <c r="J56" s="126"/>
      <c r="K56" s="126"/>
      <c r="L56" s="126"/>
      <c r="M56" s="126"/>
      <c r="N56" s="126"/>
      <c r="O56" s="126"/>
      <c r="P56" s="126"/>
      <c r="Q56" s="126"/>
      <c r="R56" s="126"/>
      <c r="S56" s="126"/>
      <c r="T56" s="126"/>
      <c r="U56" s="126"/>
      <c r="V56" s="126"/>
    </row>
    <row r="57" spans="1:22" s="1" customFormat="1" ht="17.25" customHeight="1">
      <c r="A57" s="100" t="s">
        <v>18</v>
      </c>
      <c r="B57" s="70"/>
      <c r="C57" s="70"/>
      <c r="D57" s="70" t="s">
        <v>46</v>
      </c>
      <c r="E57" s="70"/>
      <c r="F57" s="104" t="s">
        <v>45</v>
      </c>
      <c r="G57" s="105"/>
      <c r="H57" s="106"/>
      <c r="I57" s="70" t="s">
        <v>20</v>
      </c>
      <c r="J57" s="70"/>
      <c r="K57" s="104" t="s">
        <v>47</v>
      </c>
      <c r="L57" s="105"/>
      <c r="M57" s="105"/>
      <c r="N57" s="105"/>
      <c r="O57" s="105"/>
      <c r="P57" s="105"/>
      <c r="Q57" s="105"/>
      <c r="R57" s="105"/>
      <c r="S57" s="105"/>
      <c r="T57" s="105"/>
      <c r="U57" s="105"/>
      <c r="V57" s="159"/>
    </row>
    <row r="58" spans="1:22" s="1" customFormat="1" ht="17.25" customHeight="1">
      <c r="A58" s="81" t="s">
        <v>19</v>
      </c>
      <c r="B58" s="82"/>
      <c r="C58" s="82"/>
      <c r="D58" s="58"/>
      <c r="E58" s="58"/>
      <c r="F58" s="89">
        <v>5000</v>
      </c>
      <c r="G58" s="90"/>
      <c r="H58" s="141"/>
      <c r="I58" s="98">
        <f>F58*D58</f>
        <v>0</v>
      </c>
      <c r="J58" s="98"/>
      <c r="K58" s="160" t="s">
        <v>43</v>
      </c>
      <c r="L58" s="161"/>
      <c r="M58" s="161"/>
      <c r="N58" s="161"/>
      <c r="O58" s="161"/>
      <c r="P58" s="161"/>
      <c r="Q58" s="161"/>
      <c r="R58" s="161"/>
      <c r="S58" s="161"/>
      <c r="T58" s="161"/>
      <c r="U58" s="161"/>
      <c r="V58" s="162"/>
    </row>
    <row r="59" spans="1:22" s="1" customFormat="1" ht="17.25" customHeight="1">
      <c r="A59" s="81" t="s">
        <v>22</v>
      </c>
      <c r="B59" s="82"/>
      <c r="C59" s="82"/>
      <c r="D59" s="58"/>
      <c r="E59" s="58"/>
      <c r="F59" s="89">
        <v>2000</v>
      </c>
      <c r="G59" s="90"/>
      <c r="H59" s="15" t="s">
        <v>23</v>
      </c>
      <c r="I59" s="98">
        <f>F59*D59</f>
        <v>0</v>
      </c>
      <c r="J59" s="98"/>
      <c r="K59" s="160" t="s">
        <v>44</v>
      </c>
      <c r="L59" s="161"/>
      <c r="M59" s="161"/>
      <c r="N59" s="161"/>
      <c r="O59" s="161"/>
      <c r="P59" s="161"/>
      <c r="Q59" s="161"/>
      <c r="R59" s="161"/>
      <c r="S59" s="161"/>
      <c r="T59" s="161"/>
      <c r="U59" s="161"/>
      <c r="V59" s="162"/>
    </row>
    <row r="60" spans="1:22" s="1" customFormat="1" ht="17.25" customHeight="1">
      <c r="A60" s="81" t="s">
        <v>21</v>
      </c>
      <c r="B60" s="82"/>
      <c r="C60" s="82"/>
      <c r="D60" s="58"/>
      <c r="E60" s="58"/>
      <c r="F60" s="142"/>
      <c r="G60" s="143"/>
      <c r="H60" s="144"/>
      <c r="I60" s="98">
        <f>F60*D60</f>
        <v>0</v>
      </c>
      <c r="J60" s="98"/>
      <c r="K60" s="160" t="s">
        <v>121</v>
      </c>
      <c r="L60" s="161"/>
      <c r="M60" s="161"/>
      <c r="N60" s="161"/>
      <c r="O60" s="161"/>
      <c r="P60" s="161"/>
      <c r="Q60" s="161"/>
      <c r="R60" s="161"/>
      <c r="S60" s="161"/>
      <c r="T60" s="161"/>
      <c r="U60" s="161"/>
      <c r="V60" s="162"/>
    </row>
    <row r="61" spans="1:22" s="1" customFormat="1" ht="17.25" customHeight="1">
      <c r="A61" s="185" t="s">
        <v>24</v>
      </c>
      <c r="B61" s="186"/>
      <c r="C61" s="186"/>
      <c r="D61" s="186"/>
      <c r="E61" s="186"/>
      <c r="F61" s="186"/>
      <c r="G61" s="186"/>
      <c r="H61" s="186"/>
      <c r="I61" s="158">
        <f>SUM(I58:J60)</f>
        <v>0</v>
      </c>
      <c r="J61" s="158"/>
      <c r="K61" s="138"/>
      <c r="L61" s="139"/>
      <c r="M61" s="139"/>
      <c r="N61" s="139"/>
      <c r="O61" s="139"/>
      <c r="P61" s="139"/>
      <c r="Q61" s="139"/>
      <c r="R61" s="139"/>
      <c r="S61" s="139"/>
      <c r="T61" s="139"/>
      <c r="U61" s="139"/>
      <c r="V61" s="140"/>
    </row>
    <row r="62" spans="1:22" s="8" customFormat="1" ht="17.25" customHeight="1">
      <c r="A62" s="19"/>
      <c r="B62" s="19"/>
      <c r="C62" s="19"/>
      <c r="D62" s="19"/>
      <c r="E62" s="19"/>
      <c r="F62" s="19"/>
      <c r="G62" s="19"/>
      <c r="H62" s="19"/>
      <c r="I62" s="19"/>
      <c r="J62" s="19"/>
      <c r="K62" s="19"/>
      <c r="L62" s="19"/>
      <c r="M62" s="19"/>
      <c r="N62" s="19"/>
      <c r="O62" s="19"/>
      <c r="P62" s="19"/>
      <c r="Q62" s="19"/>
      <c r="R62" s="19"/>
      <c r="S62" s="19"/>
      <c r="T62" s="19"/>
      <c r="U62" s="19"/>
      <c r="V62" s="19"/>
    </row>
    <row r="63" spans="1:22" s="8" customFormat="1" ht="17.25" customHeight="1">
      <c r="A63" s="10"/>
      <c r="B63" s="10"/>
      <c r="C63" s="10"/>
      <c r="D63" s="10"/>
      <c r="E63" s="10"/>
      <c r="F63" s="10"/>
      <c r="G63" s="10"/>
      <c r="H63" s="10"/>
      <c r="I63" s="10"/>
      <c r="J63" s="10"/>
      <c r="K63" s="10"/>
      <c r="L63" s="10"/>
      <c r="M63" s="10"/>
      <c r="N63" s="10"/>
      <c r="O63" s="10"/>
      <c r="P63" s="10"/>
      <c r="Q63" s="10"/>
      <c r="R63" s="10"/>
      <c r="S63" s="10"/>
      <c r="T63" s="10"/>
      <c r="U63" s="10"/>
      <c r="V63" s="10"/>
    </row>
    <row r="64" spans="1:22" s="8" customFormat="1" ht="17.25" customHeight="1">
      <c r="A64" s="163" t="s">
        <v>107</v>
      </c>
      <c r="B64" s="163"/>
      <c r="C64" s="163"/>
      <c r="D64" s="163"/>
      <c r="E64" s="163"/>
      <c r="F64" s="163"/>
      <c r="G64" s="163"/>
      <c r="H64" s="163"/>
      <c r="I64" s="163"/>
      <c r="J64" s="163"/>
      <c r="K64" s="163"/>
      <c r="L64" s="163"/>
      <c r="M64" s="163"/>
      <c r="N64" s="163"/>
      <c r="O64" s="163"/>
      <c r="P64" s="163"/>
      <c r="Q64" s="163"/>
      <c r="R64" s="163"/>
      <c r="S64" s="163"/>
      <c r="T64" s="163"/>
      <c r="U64" s="163"/>
      <c r="V64" s="163"/>
    </row>
    <row r="65" spans="1:22" s="8" customFormat="1" ht="17.25" customHeight="1"/>
    <row r="66" spans="1:22" ht="17.25" customHeight="1">
      <c r="A66" s="125" t="s">
        <v>97</v>
      </c>
      <c r="B66" s="125"/>
      <c r="C66" s="125"/>
      <c r="D66" s="126" t="s">
        <v>75</v>
      </c>
      <c r="E66" s="126"/>
      <c r="F66" s="126"/>
      <c r="G66" s="126"/>
      <c r="H66" s="126"/>
      <c r="I66" s="126"/>
      <c r="J66" s="126"/>
      <c r="K66" s="126"/>
      <c r="L66" s="126"/>
      <c r="M66" s="126"/>
      <c r="N66" s="126"/>
      <c r="O66" s="126"/>
      <c r="P66" s="126"/>
      <c r="Q66" s="126"/>
      <c r="R66" s="126"/>
      <c r="S66" s="126"/>
      <c r="T66" s="126"/>
      <c r="U66" s="126"/>
      <c r="V66" s="126"/>
    </row>
    <row r="67" spans="1:22" ht="27.75" customHeight="1">
      <c r="A67" s="100" t="s">
        <v>1</v>
      </c>
      <c r="B67" s="70"/>
      <c r="C67" s="70" t="s">
        <v>4</v>
      </c>
      <c r="D67" s="70"/>
      <c r="E67" s="66" t="s">
        <v>14</v>
      </c>
      <c r="F67" s="66"/>
      <c r="G67" s="66" t="s">
        <v>15</v>
      </c>
      <c r="H67" s="66"/>
      <c r="I67" s="70" t="s">
        <v>5</v>
      </c>
      <c r="J67" s="70"/>
      <c r="K67" s="66" t="s">
        <v>13</v>
      </c>
      <c r="L67" s="66"/>
      <c r="M67" s="70" t="s">
        <v>8</v>
      </c>
      <c r="N67" s="70"/>
      <c r="O67" s="69" t="s">
        <v>16</v>
      </c>
      <c r="P67" s="69"/>
      <c r="Q67" s="69" t="s">
        <v>83</v>
      </c>
      <c r="R67" s="69"/>
      <c r="S67" s="70" t="s">
        <v>6</v>
      </c>
      <c r="T67" s="70"/>
      <c r="U67" s="70" t="s">
        <v>7</v>
      </c>
      <c r="V67" s="77"/>
    </row>
    <row r="68" spans="1:22" ht="17.25" customHeight="1">
      <c r="A68" s="99"/>
      <c r="B68" s="65"/>
      <c r="C68" s="58"/>
      <c r="D68" s="58"/>
      <c r="E68" s="58"/>
      <c r="F68" s="58"/>
      <c r="G68" s="58"/>
      <c r="H68" s="58"/>
      <c r="I68" s="67"/>
      <c r="J68" s="67"/>
      <c r="K68" s="58"/>
      <c r="L68" s="58"/>
      <c r="M68" s="58"/>
      <c r="N68" s="58"/>
      <c r="O68" s="43" t="str">
        <f t="shared" ref="O68:O87" si="3">IFERROR(VLOOKUP($K68,$A$45:$G$51,5,FALSE),"")</f>
        <v/>
      </c>
      <c r="P68" s="112"/>
      <c r="Q68" s="71">
        <f t="shared" ref="Q68:Q87" si="4">IFERROR(VLOOKUP($K68,$A$45:$G$51,7,FALSE),0)</f>
        <v>0</v>
      </c>
      <c r="R68" s="71"/>
      <c r="S68" s="113">
        <f>ROUND(M68*Q68,0)</f>
        <v>0</v>
      </c>
      <c r="T68" s="113"/>
      <c r="U68" s="67"/>
      <c r="V68" s="68"/>
    </row>
    <row r="69" spans="1:22" ht="17.25" customHeight="1">
      <c r="A69" s="99"/>
      <c r="B69" s="65"/>
      <c r="C69" s="58"/>
      <c r="D69" s="58"/>
      <c r="E69" s="58"/>
      <c r="F69" s="58"/>
      <c r="G69" s="58"/>
      <c r="H69" s="58"/>
      <c r="I69" s="67"/>
      <c r="J69" s="67"/>
      <c r="K69" s="58"/>
      <c r="L69" s="58"/>
      <c r="M69" s="58"/>
      <c r="N69" s="58"/>
      <c r="O69" s="43" t="str">
        <f t="shared" si="3"/>
        <v/>
      </c>
      <c r="P69" s="112"/>
      <c r="Q69" s="71">
        <f t="shared" si="4"/>
        <v>0</v>
      </c>
      <c r="R69" s="71"/>
      <c r="S69" s="113">
        <f t="shared" ref="S69:S87" si="5">ROUND(M69*Q69,0)</f>
        <v>0</v>
      </c>
      <c r="T69" s="113"/>
      <c r="U69" s="67"/>
      <c r="V69" s="68"/>
    </row>
    <row r="70" spans="1:22" ht="17.25" customHeight="1">
      <c r="A70" s="99"/>
      <c r="B70" s="65"/>
      <c r="C70" s="58"/>
      <c r="D70" s="58"/>
      <c r="E70" s="58"/>
      <c r="F70" s="58"/>
      <c r="G70" s="58"/>
      <c r="H70" s="58"/>
      <c r="I70" s="67"/>
      <c r="J70" s="67"/>
      <c r="K70" s="58"/>
      <c r="L70" s="58"/>
      <c r="M70" s="58"/>
      <c r="N70" s="58"/>
      <c r="O70" s="43" t="str">
        <f t="shared" si="3"/>
        <v/>
      </c>
      <c r="P70" s="112"/>
      <c r="Q70" s="71">
        <f t="shared" si="4"/>
        <v>0</v>
      </c>
      <c r="R70" s="71"/>
      <c r="S70" s="113">
        <f t="shared" si="5"/>
        <v>0</v>
      </c>
      <c r="T70" s="113"/>
      <c r="U70" s="67"/>
      <c r="V70" s="68"/>
    </row>
    <row r="71" spans="1:22" ht="17.25" customHeight="1">
      <c r="A71" s="99"/>
      <c r="B71" s="65"/>
      <c r="C71" s="58"/>
      <c r="D71" s="58"/>
      <c r="E71" s="58"/>
      <c r="F71" s="58"/>
      <c r="G71" s="58"/>
      <c r="H71" s="58"/>
      <c r="I71" s="67"/>
      <c r="J71" s="67"/>
      <c r="K71" s="58"/>
      <c r="L71" s="58"/>
      <c r="M71" s="58"/>
      <c r="N71" s="58"/>
      <c r="O71" s="43" t="str">
        <f t="shared" si="3"/>
        <v/>
      </c>
      <c r="P71" s="112"/>
      <c r="Q71" s="71">
        <f t="shared" si="4"/>
        <v>0</v>
      </c>
      <c r="R71" s="71"/>
      <c r="S71" s="113">
        <f t="shared" si="5"/>
        <v>0</v>
      </c>
      <c r="T71" s="113"/>
      <c r="U71" s="67"/>
      <c r="V71" s="68"/>
    </row>
    <row r="72" spans="1:22" ht="17.25" customHeight="1">
      <c r="A72" s="99"/>
      <c r="B72" s="65"/>
      <c r="C72" s="58"/>
      <c r="D72" s="58"/>
      <c r="E72" s="58"/>
      <c r="F72" s="58"/>
      <c r="G72" s="58"/>
      <c r="H72" s="58"/>
      <c r="I72" s="67"/>
      <c r="J72" s="67"/>
      <c r="K72" s="58"/>
      <c r="L72" s="58"/>
      <c r="M72" s="58"/>
      <c r="N72" s="58"/>
      <c r="O72" s="43" t="str">
        <f t="shared" si="3"/>
        <v/>
      </c>
      <c r="P72" s="112"/>
      <c r="Q72" s="71">
        <f t="shared" si="4"/>
        <v>0</v>
      </c>
      <c r="R72" s="71"/>
      <c r="S72" s="113">
        <f t="shared" si="5"/>
        <v>0</v>
      </c>
      <c r="T72" s="113"/>
      <c r="U72" s="67"/>
      <c r="V72" s="68"/>
    </row>
    <row r="73" spans="1:22" ht="17.25" customHeight="1">
      <c r="A73" s="99"/>
      <c r="B73" s="65"/>
      <c r="C73" s="58"/>
      <c r="D73" s="58"/>
      <c r="E73" s="58"/>
      <c r="F73" s="58"/>
      <c r="G73" s="58"/>
      <c r="H73" s="58"/>
      <c r="I73" s="67"/>
      <c r="J73" s="67"/>
      <c r="K73" s="58"/>
      <c r="L73" s="58"/>
      <c r="M73" s="58"/>
      <c r="N73" s="58"/>
      <c r="O73" s="43" t="str">
        <f t="shared" si="3"/>
        <v/>
      </c>
      <c r="P73" s="112"/>
      <c r="Q73" s="71">
        <f t="shared" si="4"/>
        <v>0</v>
      </c>
      <c r="R73" s="71"/>
      <c r="S73" s="113">
        <f t="shared" si="5"/>
        <v>0</v>
      </c>
      <c r="T73" s="113"/>
      <c r="U73" s="67"/>
      <c r="V73" s="68"/>
    </row>
    <row r="74" spans="1:22" ht="17.25" customHeight="1">
      <c r="A74" s="99"/>
      <c r="B74" s="65"/>
      <c r="C74" s="58"/>
      <c r="D74" s="58"/>
      <c r="E74" s="58"/>
      <c r="F74" s="58"/>
      <c r="G74" s="58"/>
      <c r="H74" s="58"/>
      <c r="I74" s="67"/>
      <c r="J74" s="67"/>
      <c r="K74" s="58"/>
      <c r="L74" s="58"/>
      <c r="M74" s="58"/>
      <c r="N74" s="58"/>
      <c r="O74" s="43" t="str">
        <f t="shared" si="3"/>
        <v/>
      </c>
      <c r="P74" s="112"/>
      <c r="Q74" s="71">
        <f t="shared" si="4"/>
        <v>0</v>
      </c>
      <c r="R74" s="71"/>
      <c r="S74" s="113">
        <f t="shared" si="5"/>
        <v>0</v>
      </c>
      <c r="T74" s="113"/>
      <c r="U74" s="67"/>
      <c r="V74" s="68"/>
    </row>
    <row r="75" spans="1:22" ht="17.25" customHeight="1">
      <c r="A75" s="99"/>
      <c r="B75" s="65"/>
      <c r="C75" s="58"/>
      <c r="D75" s="58"/>
      <c r="E75" s="58"/>
      <c r="F75" s="58"/>
      <c r="G75" s="58"/>
      <c r="H75" s="58"/>
      <c r="I75" s="67"/>
      <c r="J75" s="67"/>
      <c r="K75" s="58"/>
      <c r="L75" s="58"/>
      <c r="M75" s="58"/>
      <c r="N75" s="58"/>
      <c r="O75" s="43" t="str">
        <f t="shared" si="3"/>
        <v/>
      </c>
      <c r="P75" s="112"/>
      <c r="Q75" s="71">
        <f t="shared" si="4"/>
        <v>0</v>
      </c>
      <c r="R75" s="71"/>
      <c r="S75" s="113">
        <f t="shared" si="5"/>
        <v>0</v>
      </c>
      <c r="T75" s="113"/>
      <c r="U75" s="67"/>
      <c r="V75" s="68"/>
    </row>
    <row r="76" spans="1:22" ht="17.25" customHeight="1">
      <c r="A76" s="99"/>
      <c r="B76" s="65"/>
      <c r="C76" s="58"/>
      <c r="D76" s="58"/>
      <c r="E76" s="58"/>
      <c r="F76" s="58"/>
      <c r="G76" s="58"/>
      <c r="H76" s="58"/>
      <c r="I76" s="67"/>
      <c r="J76" s="67"/>
      <c r="K76" s="58"/>
      <c r="L76" s="58"/>
      <c r="M76" s="58"/>
      <c r="N76" s="58"/>
      <c r="O76" s="43" t="str">
        <f t="shared" si="3"/>
        <v/>
      </c>
      <c r="P76" s="112"/>
      <c r="Q76" s="71">
        <f t="shared" si="4"/>
        <v>0</v>
      </c>
      <c r="R76" s="71"/>
      <c r="S76" s="113">
        <f t="shared" si="5"/>
        <v>0</v>
      </c>
      <c r="T76" s="113"/>
      <c r="U76" s="67"/>
      <c r="V76" s="68"/>
    </row>
    <row r="77" spans="1:22" s="8" customFormat="1" ht="17.25" customHeight="1">
      <c r="A77" s="99"/>
      <c r="B77" s="65"/>
      <c r="C77" s="58"/>
      <c r="D77" s="58"/>
      <c r="E77" s="58"/>
      <c r="F77" s="58"/>
      <c r="G77" s="58"/>
      <c r="H77" s="58"/>
      <c r="I77" s="67"/>
      <c r="J77" s="67"/>
      <c r="K77" s="58"/>
      <c r="L77" s="58"/>
      <c r="M77" s="58"/>
      <c r="N77" s="58"/>
      <c r="O77" s="43" t="str">
        <f t="shared" si="3"/>
        <v/>
      </c>
      <c r="P77" s="112"/>
      <c r="Q77" s="71">
        <f t="shared" si="4"/>
        <v>0</v>
      </c>
      <c r="R77" s="71"/>
      <c r="S77" s="113">
        <f t="shared" ref="S77:S78" si="6">ROUND(M77*Q77,0)</f>
        <v>0</v>
      </c>
      <c r="T77" s="113"/>
      <c r="U77" s="67"/>
      <c r="V77" s="68"/>
    </row>
    <row r="78" spans="1:22" s="8" customFormat="1" ht="17.25" customHeight="1">
      <c r="A78" s="99"/>
      <c r="B78" s="65"/>
      <c r="C78" s="58"/>
      <c r="D78" s="58"/>
      <c r="E78" s="58"/>
      <c r="F78" s="58"/>
      <c r="G78" s="58"/>
      <c r="H78" s="58"/>
      <c r="I78" s="67"/>
      <c r="J78" s="67"/>
      <c r="K78" s="58"/>
      <c r="L78" s="58"/>
      <c r="M78" s="58"/>
      <c r="N78" s="58"/>
      <c r="O78" s="43" t="str">
        <f t="shared" si="3"/>
        <v/>
      </c>
      <c r="P78" s="112"/>
      <c r="Q78" s="71">
        <f t="shared" si="4"/>
        <v>0</v>
      </c>
      <c r="R78" s="71"/>
      <c r="S78" s="113">
        <f t="shared" si="6"/>
        <v>0</v>
      </c>
      <c r="T78" s="113"/>
      <c r="U78" s="67"/>
      <c r="V78" s="68"/>
    </row>
    <row r="79" spans="1:22" ht="17.25" customHeight="1">
      <c r="A79" s="99"/>
      <c r="B79" s="65"/>
      <c r="C79" s="58"/>
      <c r="D79" s="58"/>
      <c r="E79" s="58"/>
      <c r="F79" s="58"/>
      <c r="G79" s="58"/>
      <c r="H79" s="58"/>
      <c r="I79" s="67"/>
      <c r="J79" s="67"/>
      <c r="K79" s="58"/>
      <c r="L79" s="58"/>
      <c r="M79" s="58"/>
      <c r="N79" s="58"/>
      <c r="O79" s="43" t="str">
        <f t="shared" si="3"/>
        <v/>
      </c>
      <c r="P79" s="112"/>
      <c r="Q79" s="71">
        <f t="shared" si="4"/>
        <v>0</v>
      </c>
      <c r="R79" s="71"/>
      <c r="S79" s="113">
        <f t="shared" si="5"/>
        <v>0</v>
      </c>
      <c r="T79" s="113"/>
      <c r="U79" s="67"/>
      <c r="V79" s="68"/>
    </row>
    <row r="80" spans="1:22" ht="17.25" customHeight="1">
      <c r="A80" s="99"/>
      <c r="B80" s="65"/>
      <c r="C80" s="58"/>
      <c r="D80" s="58"/>
      <c r="E80" s="58"/>
      <c r="F80" s="58"/>
      <c r="G80" s="58"/>
      <c r="H80" s="58"/>
      <c r="I80" s="67"/>
      <c r="J80" s="67"/>
      <c r="K80" s="58"/>
      <c r="L80" s="58"/>
      <c r="M80" s="58"/>
      <c r="N80" s="58"/>
      <c r="O80" s="43" t="str">
        <f t="shared" si="3"/>
        <v/>
      </c>
      <c r="P80" s="112"/>
      <c r="Q80" s="71">
        <f t="shared" si="4"/>
        <v>0</v>
      </c>
      <c r="R80" s="71"/>
      <c r="S80" s="113">
        <f t="shared" si="5"/>
        <v>0</v>
      </c>
      <c r="T80" s="113"/>
      <c r="U80" s="67"/>
      <c r="V80" s="68"/>
    </row>
    <row r="81" spans="1:22" ht="17.25" customHeight="1">
      <c r="A81" s="99"/>
      <c r="B81" s="65"/>
      <c r="C81" s="58"/>
      <c r="D81" s="58"/>
      <c r="E81" s="58"/>
      <c r="F81" s="58"/>
      <c r="G81" s="58"/>
      <c r="H81" s="58"/>
      <c r="I81" s="67"/>
      <c r="J81" s="67"/>
      <c r="K81" s="58"/>
      <c r="L81" s="58"/>
      <c r="M81" s="58"/>
      <c r="N81" s="58"/>
      <c r="O81" s="43" t="str">
        <f t="shared" si="3"/>
        <v/>
      </c>
      <c r="P81" s="112"/>
      <c r="Q81" s="71">
        <f t="shared" si="4"/>
        <v>0</v>
      </c>
      <c r="R81" s="71"/>
      <c r="S81" s="113">
        <f t="shared" si="5"/>
        <v>0</v>
      </c>
      <c r="T81" s="113"/>
      <c r="U81" s="67"/>
      <c r="V81" s="68"/>
    </row>
    <row r="82" spans="1:22" ht="17.25" customHeight="1">
      <c r="A82" s="99"/>
      <c r="B82" s="65"/>
      <c r="C82" s="58"/>
      <c r="D82" s="58"/>
      <c r="E82" s="58"/>
      <c r="F82" s="58"/>
      <c r="G82" s="58"/>
      <c r="H82" s="58"/>
      <c r="I82" s="67"/>
      <c r="J82" s="67"/>
      <c r="K82" s="58"/>
      <c r="L82" s="58"/>
      <c r="M82" s="58"/>
      <c r="N82" s="58"/>
      <c r="O82" s="43" t="str">
        <f t="shared" si="3"/>
        <v/>
      </c>
      <c r="P82" s="112"/>
      <c r="Q82" s="71">
        <f t="shared" si="4"/>
        <v>0</v>
      </c>
      <c r="R82" s="71"/>
      <c r="S82" s="113">
        <f t="shared" si="5"/>
        <v>0</v>
      </c>
      <c r="T82" s="113"/>
      <c r="U82" s="67"/>
      <c r="V82" s="68"/>
    </row>
    <row r="83" spans="1:22" ht="17.25" customHeight="1">
      <c r="A83" s="99"/>
      <c r="B83" s="65"/>
      <c r="C83" s="58"/>
      <c r="D83" s="58"/>
      <c r="E83" s="58"/>
      <c r="F83" s="58"/>
      <c r="G83" s="58"/>
      <c r="H83" s="58"/>
      <c r="I83" s="67"/>
      <c r="J83" s="67"/>
      <c r="K83" s="58"/>
      <c r="L83" s="58"/>
      <c r="M83" s="58"/>
      <c r="N83" s="58"/>
      <c r="O83" s="43" t="str">
        <f t="shared" si="3"/>
        <v/>
      </c>
      <c r="P83" s="112"/>
      <c r="Q83" s="71">
        <f t="shared" si="4"/>
        <v>0</v>
      </c>
      <c r="R83" s="71"/>
      <c r="S83" s="113">
        <f t="shared" si="5"/>
        <v>0</v>
      </c>
      <c r="T83" s="113"/>
      <c r="U83" s="67"/>
      <c r="V83" s="68"/>
    </row>
    <row r="84" spans="1:22" ht="17.25" customHeight="1">
      <c r="A84" s="99"/>
      <c r="B84" s="65"/>
      <c r="C84" s="58"/>
      <c r="D84" s="58"/>
      <c r="E84" s="58"/>
      <c r="F84" s="58"/>
      <c r="G84" s="58"/>
      <c r="H84" s="58"/>
      <c r="I84" s="67"/>
      <c r="J84" s="67"/>
      <c r="K84" s="58"/>
      <c r="L84" s="58"/>
      <c r="M84" s="58"/>
      <c r="N84" s="58"/>
      <c r="O84" s="43" t="str">
        <f t="shared" si="3"/>
        <v/>
      </c>
      <c r="P84" s="112"/>
      <c r="Q84" s="71">
        <f t="shared" si="4"/>
        <v>0</v>
      </c>
      <c r="R84" s="71"/>
      <c r="S84" s="113">
        <f t="shared" si="5"/>
        <v>0</v>
      </c>
      <c r="T84" s="113"/>
      <c r="U84" s="67"/>
      <c r="V84" s="68"/>
    </row>
    <row r="85" spans="1:22" ht="17.25" customHeight="1">
      <c r="A85" s="99"/>
      <c r="B85" s="65"/>
      <c r="C85" s="58"/>
      <c r="D85" s="58"/>
      <c r="E85" s="58"/>
      <c r="F85" s="58"/>
      <c r="G85" s="58"/>
      <c r="H85" s="58"/>
      <c r="I85" s="67"/>
      <c r="J85" s="67"/>
      <c r="K85" s="58"/>
      <c r="L85" s="58"/>
      <c r="M85" s="58"/>
      <c r="N85" s="58"/>
      <c r="O85" s="43" t="str">
        <f t="shared" si="3"/>
        <v/>
      </c>
      <c r="P85" s="112"/>
      <c r="Q85" s="71">
        <f t="shared" si="4"/>
        <v>0</v>
      </c>
      <c r="R85" s="71"/>
      <c r="S85" s="113">
        <f t="shared" si="5"/>
        <v>0</v>
      </c>
      <c r="T85" s="113"/>
      <c r="U85" s="67"/>
      <c r="V85" s="68"/>
    </row>
    <row r="86" spans="1:22" ht="17.25" customHeight="1">
      <c r="A86" s="99"/>
      <c r="B86" s="65"/>
      <c r="C86" s="58"/>
      <c r="D86" s="58"/>
      <c r="E86" s="58"/>
      <c r="F86" s="58"/>
      <c r="G86" s="58"/>
      <c r="H86" s="58"/>
      <c r="I86" s="67"/>
      <c r="J86" s="67"/>
      <c r="K86" s="58"/>
      <c r="L86" s="58"/>
      <c r="M86" s="58"/>
      <c r="N86" s="58"/>
      <c r="O86" s="43" t="str">
        <f t="shared" si="3"/>
        <v/>
      </c>
      <c r="P86" s="112"/>
      <c r="Q86" s="71">
        <f t="shared" si="4"/>
        <v>0</v>
      </c>
      <c r="R86" s="71"/>
      <c r="S86" s="113">
        <f t="shared" si="5"/>
        <v>0</v>
      </c>
      <c r="T86" s="113"/>
      <c r="U86" s="67"/>
      <c r="V86" s="68"/>
    </row>
    <row r="87" spans="1:22" ht="17.25" customHeight="1">
      <c r="A87" s="99"/>
      <c r="B87" s="65"/>
      <c r="C87" s="58"/>
      <c r="D87" s="58"/>
      <c r="E87" s="58"/>
      <c r="F87" s="58"/>
      <c r="G87" s="58"/>
      <c r="H87" s="58"/>
      <c r="I87" s="67"/>
      <c r="J87" s="67"/>
      <c r="K87" s="58"/>
      <c r="L87" s="58"/>
      <c r="M87" s="58"/>
      <c r="N87" s="58"/>
      <c r="O87" s="43" t="str">
        <f t="shared" si="3"/>
        <v/>
      </c>
      <c r="P87" s="112"/>
      <c r="Q87" s="71">
        <f t="shared" si="4"/>
        <v>0</v>
      </c>
      <c r="R87" s="71"/>
      <c r="S87" s="113">
        <f t="shared" si="5"/>
        <v>0</v>
      </c>
      <c r="T87" s="113"/>
      <c r="U87" s="67"/>
      <c r="V87" s="68"/>
    </row>
    <row r="88" spans="1:22" ht="17.25" customHeight="1">
      <c r="A88" s="73" t="s">
        <v>11</v>
      </c>
      <c r="B88" s="74"/>
      <c r="C88" s="74"/>
      <c r="D88" s="74"/>
      <c r="E88" s="74"/>
      <c r="F88" s="74"/>
      <c r="G88" s="74"/>
      <c r="H88" s="74"/>
      <c r="I88" s="74"/>
      <c r="J88" s="74"/>
      <c r="K88" s="74"/>
      <c r="L88" s="74"/>
      <c r="M88" s="74"/>
      <c r="N88" s="74"/>
      <c r="O88" s="74"/>
      <c r="P88" s="74"/>
      <c r="Q88" s="74"/>
      <c r="R88" s="74"/>
      <c r="S88" s="164">
        <f>SUM(S68:T87)</f>
        <v>0</v>
      </c>
      <c r="T88" s="164"/>
      <c r="U88" s="165"/>
      <c r="V88" s="166"/>
    </row>
    <row r="89" spans="1:22" s="5" customFormat="1" ht="17.25" customHeight="1"/>
    <row r="90" spans="1:22" s="8" customFormat="1" ht="17.25" customHeight="1">
      <c r="A90" s="125" t="s">
        <v>99</v>
      </c>
      <c r="B90" s="125"/>
      <c r="C90" s="125"/>
      <c r="D90" s="126" t="s">
        <v>85</v>
      </c>
      <c r="E90" s="126"/>
      <c r="F90" s="126"/>
      <c r="G90" s="126"/>
      <c r="H90" s="126"/>
      <c r="I90" s="126"/>
      <c r="J90" s="126"/>
      <c r="K90" s="126"/>
      <c r="L90" s="126"/>
      <c r="M90" s="126"/>
      <c r="N90" s="126"/>
      <c r="O90" s="126"/>
      <c r="P90" s="126"/>
      <c r="Q90" s="126"/>
      <c r="R90" s="126"/>
      <c r="S90" s="126"/>
      <c r="T90" s="126"/>
      <c r="U90" s="126"/>
      <c r="V90" s="126"/>
    </row>
    <row r="91" spans="1:22" s="8" customFormat="1" ht="27" customHeight="1">
      <c r="A91" s="100" t="s">
        <v>9</v>
      </c>
      <c r="B91" s="70"/>
      <c r="C91" s="70" t="s">
        <v>10</v>
      </c>
      <c r="D91" s="70"/>
      <c r="E91" s="9" t="s">
        <v>31</v>
      </c>
      <c r="F91" s="70" t="s">
        <v>32</v>
      </c>
      <c r="G91" s="70"/>
      <c r="H91" s="70"/>
      <c r="I91" s="70"/>
      <c r="J91" s="70"/>
      <c r="K91" s="66" t="s">
        <v>13</v>
      </c>
      <c r="L91" s="66"/>
      <c r="M91" s="70" t="s">
        <v>8</v>
      </c>
      <c r="N91" s="70"/>
      <c r="O91" s="69" t="s">
        <v>16</v>
      </c>
      <c r="P91" s="69"/>
      <c r="Q91" s="69" t="s">
        <v>83</v>
      </c>
      <c r="R91" s="69"/>
      <c r="S91" s="70" t="s">
        <v>6</v>
      </c>
      <c r="T91" s="70"/>
      <c r="U91" s="70" t="s">
        <v>7</v>
      </c>
      <c r="V91" s="77"/>
    </row>
    <row r="92" spans="1:22" s="8" customFormat="1" ht="17.25" customHeight="1">
      <c r="A92" s="99"/>
      <c r="B92" s="65"/>
      <c r="C92" s="65"/>
      <c r="D92" s="65"/>
      <c r="E92" s="39"/>
      <c r="F92" s="58"/>
      <c r="G92" s="58"/>
      <c r="H92" s="58"/>
      <c r="I92" s="58"/>
      <c r="J92" s="58"/>
      <c r="K92" s="58"/>
      <c r="L92" s="58"/>
      <c r="M92" s="58"/>
      <c r="N92" s="58"/>
      <c r="O92" s="47" t="str">
        <f t="shared" ref="O92:O97" si="7">IFERROR(VLOOKUP($K92,$A$45:$G$51,5,FALSE),"")</f>
        <v/>
      </c>
      <c r="P92" s="47"/>
      <c r="Q92" s="71">
        <f t="shared" ref="Q92:Q97" si="8">IFERROR(VLOOKUP($K92,$A$45:$G$51,7,FALSE),0)</f>
        <v>0</v>
      </c>
      <c r="R92" s="71"/>
      <c r="S92" s="113">
        <f>ROUND(M92*Q92,0)</f>
        <v>0</v>
      </c>
      <c r="T92" s="113"/>
      <c r="U92" s="67"/>
      <c r="V92" s="68"/>
    </row>
    <row r="93" spans="1:22" s="8" customFormat="1" ht="17.25" customHeight="1">
      <c r="A93" s="99"/>
      <c r="B93" s="65"/>
      <c r="C93" s="65"/>
      <c r="D93" s="65"/>
      <c r="E93" s="39"/>
      <c r="F93" s="58"/>
      <c r="G93" s="58"/>
      <c r="H93" s="58"/>
      <c r="I93" s="58"/>
      <c r="J93" s="58"/>
      <c r="K93" s="58"/>
      <c r="L93" s="58"/>
      <c r="M93" s="58"/>
      <c r="N93" s="58"/>
      <c r="O93" s="47" t="str">
        <f t="shared" si="7"/>
        <v/>
      </c>
      <c r="P93" s="47"/>
      <c r="Q93" s="71">
        <f t="shared" si="8"/>
        <v>0</v>
      </c>
      <c r="R93" s="71"/>
      <c r="S93" s="113">
        <f t="shared" ref="S93:S97" si="9">ROUND(M93*Q93,0)</f>
        <v>0</v>
      </c>
      <c r="T93" s="113"/>
      <c r="U93" s="67"/>
      <c r="V93" s="68"/>
    </row>
    <row r="94" spans="1:22" s="8" customFormat="1" ht="17.25" customHeight="1">
      <c r="A94" s="99"/>
      <c r="B94" s="65"/>
      <c r="C94" s="65"/>
      <c r="D94" s="65"/>
      <c r="E94" s="39"/>
      <c r="F94" s="58"/>
      <c r="G94" s="58"/>
      <c r="H94" s="58"/>
      <c r="I94" s="58"/>
      <c r="J94" s="58"/>
      <c r="K94" s="58"/>
      <c r="L94" s="58"/>
      <c r="M94" s="58"/>
      <c r="N94" s="58"/>
      <c r="O94" s="47" t="str">
        <f t="shared" si="7"/>
        <v/>
      </c>
      <c r="P94" s="47"/>
      <c r="Q94" s="71">
        <f t="shared" si="8"/>
        <v>0</v>
      </c>
      <c r="R94" s="71"/>
      <c r="S94" s="113">
        <f t="shared" ref="S94" si="10">ROUND(M94*Q94,0)</f>
        <v>0</v>
      </c>
      <c r="T94" s="113"/>
      <c r="U94" s="67"/>
      <c r="V94" s="68"/>
    </row>
    <row r="95" spans="1:22" s="8" customFormat="1" ht="17.25" customHeight="1">
      <c r="A95" s="99"/>
      <c r="B95" s="65"/>
      <c r="C95" s="65"/>
      <c r="D95" s="65"/>
      <c r="E95" s="39"/>
      <c r="F95" s="58"/>
      <c r="G95" s="58"/>
      <c r="H95" s="58"/>
      <c r="I95" s="58"/>
      <c r="J95" s="58"/>
      <c r="K95" s="58"/>
      <c r="L95" s="58"/>
      <c r="M95" s="58"/>
      <c r="N95" s="58"/>
      <c r="O95" s="47" t="str">
        <f t="shared" si="7"/>
        <v/>
      </c>
      <c r="P95" s="47"/>
      <c r="Q95" s="71">
        <f t="shared" si="8"/>
        <v>0</v>
      </c>
      <c r="R95" s="71"/>
      <c r="S95" s="113">
        <f t="shared" si="9"/>
        <v>0</v>
      </c>
      <c r="T95" s="113"/>
      <c r="U95" s="67"/>
      <c r="V95" s="68"/>
    </row>
    <row r="96" spans="1:22" s="8" customFormat="1" ht="17.25" customHeight="1">
      <c r="A96" s="99"/>
      <c r="B96" s="65"/>
      <c r="C96" s="65"/>
      <c r="D96" s="65"/>
      <c r="E96" s="39"/>
      <c r="F96" s="58"/>
      <c r="G96" s="58"/>
      <c r="H96" s="58"/>
      <c r="I96" s="58"/>
      <c r="J96" s="58"/>
      <c r="K96" s="58"/>
      <c r="L96" s="58"/>
      <c r="M96" s="58"/>
      <c r="N96" s="58"/>
      <c r="O96" s="47" t="str">
        <f t="shared" si="7"/>
        <v/>
      </c>
      <c r="P96" s="47"/>
      <c r="Q96" s="71">
        <f t="shared" si="8"/>
        <v>0</v>
      </c>
      <c r="R96" s="71"/>
      <c r="S96" s="113">
        <f t="shared" si="9"/>
        <v>0</v>
      </c>
      <c r="T96" s="113"/>
      <c r="U96" s="67"/>
      <c r="V96" s="68"/>
    </row>
    <row r="97" spans="1:22" s="8" customFormat="1" ht="17.25" customHeight="1">
      <c r="A97" s="99"/>
      <c r="B97" s="65"/>
      <c r="C97" s="65"/>
      <c r="D97" s="65"/>
      <c r="E97" s="39"/>
      <c r="F97" s="58"/>
      <c r="G97" s="58"/>
      <c r="H97" s="58"/>
      <c r="I97" s="58"/>
      <c r="J97" s="58"/>
      <c r="K97" s="58"/>
      <c r="L97" s="58"/>
      <c r="M97" s="58"/>
      <c r="N97" s="58"/>
      <c r="O97" s="47" t="str">
        <f t="shared" si="7"/>
        <v/>
      </c>
      <c r="P97" s="47"/>
      <c r="Q97" s="71">
        <f t="shared" si="8"/>
        <v>0</v>
      </c>
      <c r="R97" s="71"/>
      <c r="S97" s="113">
        <f t="shared" si="9"/>
        <v>0</v>
      </c>
      <c r="T97" s="113"/>
      <c r="U97" s="67"/>
      <c r="V97" s="68"/>
    </row>
    <row r="98" spans="1:22" s="8" customFormat="1" ht="17.25" customHeight="1">
      <c r="A98" s="73" t="s">
        <v>11</v>
      </c>
      <c r="B98" s="74"/>
      <c r="C98" s="74"/>
      <c r="D98" s="74"/>
      <c r="E98" s="74"/>
      <c r="F98" s="74"/>
      <c r="G98" s="74"/>
      <c r="H98" s="74"/>
      <c r="I98" s="74"/>
      <c r="J98" s="74"/>
      <c r="K98" s="74"/>
      <c r="L98" s="74"/>
      <c r="M98" s="74"/>
      <c r="N98" s="74"/>
      <c r="O98" s="74"/>
      <c r="P98" s="74"/>
      <c r="Q98" s="74"/>
      <c r="R98" s="74"/>
      <c r="S98" s="164">
        <f>SUM(S92:T97)</f>
        <v>0</v>
      </c>
      <c r="T98" s="164"/>
      <c r="U98" s="165"/>
      <c r="V98" s="166"/>
    </row>
    <row r="99" spans="1:22" s="8" customFormat="1" ht="17.25" customHeight="1">
      <c r="A99" s="55" t="s">
        <v>168</v>
      </c>
      <c r="B99" s="55"/>
      <c r="C99" s="55"/>
      <c r="D99" s="55"/>
      <c r="E99" s="55"/>
      <c r="F99" s="55"/>
      <c r="G99" s="55"/>
      <c r="H99" s="55"/>
      <c r="I99" s="55"/>
      <c r="J99" s="55"/>
      <c r="K99" s="55"/>
      <c r="L99" s="55"/>
      <c r="M99" s="55"/>
      <c r="N99" s="55"/>
      <c r="O99" s="55"/>
      <c r="P99" s="55"/>
      <c r="Q99" s="55"/>
      <c r="R99" s="55"/>
      <c r="S99" s="55"/>
      <c r="T99" s="55"/>
      <c r="U99" s="55"/>
      <c r="V99" s="55"/>
    </row>
    <row r="100" spans="1:22" s="8" customFormat="1" ht="17.25" customHeight="1">
      <c r="A100" s="56" t="s">
        <v>87</v>
      </c>
      <c r="B100" s="56"/>
      <c r="C100" s="56"/>
      <c r="D100" s="56"/>
      <c r="E100" s="56"/>
      <c r="F100" s="56"/>
      <c r="G100" s="56"/>
      <c r="H100" s="56"/>
      <c r="I100" s="56"/>
      <c r="J100" s="56"/>
      <c r="K100" s="56"/>
      <c r="L100" s="56"/>
      <c r="M100" s="56"/>
      <c r="N100" s="56"/>
      <c r="O100" s="56"/>
      <c r="P100" s="56"/>
      <c r="Q100" s="56"/>
      <c r="R100" s="56"/>
      <c r="S100" s="56"/>
      <c r="T100" s="56"/>
      <c r="U100" s="56"/>
      <c r="V100" s="56"/>
    </row>
    <row r="101" spans="1:22" s="8" customFormat="1" ht="17.25" customHeight="1">
      <c r="A101" s="56" t="s">
        <v>86</v>
      </c>
      <c r="B101" s="56"/>
      <c r="C101" s="56"/>
      <c r="D101" s="56"/>
      <c r="E101" s="56"/>
      <c r="F101" s="56"/>
      <c r="G101" s="56"/>
      <c r="H101" s="56"/>
      <c r="I101" s="56"/>
      <c r="J101" s="56"/>
      <c r="K101" s="56"/>
      <c r="L101" s="56"/>
      <c r="M101" s="56"/>
      <c r="N101" s="56"/>
      <c r="O101" s="56"/>
      <c r="P101" s="56"/>
      <c r="Q101" s="56"/>
      <c r="R101" s="56"/>
      <c r="S101" s="56"/>
      <c r="T101" s="56"/>
      <c r="U101" s="56"/>
      <c r="V101" s="56"/>
    </row>
    <row r="102" spans="1:22" s="8" customFormat="1" ht="17.25" customHeight="1"/>
    <row r="103" spans="1:22" s="8" customFormat="1" ht="17.25" customHeight="1">
      <c r="A103" s="125" t="s">
        <v>100</v>
      </c>
      <c r="B103" s="125"/>
      <c r="C103" s="125"/>
      <c r="D103" s="126" t="s">
        <v>122</v>
      </c>
      <c r="E103" s="126"/>
      <c r="F103" s="126"/>
      <c r="G103" s="126"/>
      <c r="H103" s="126"/>
      <c r="I103" s="126"/>
      <c r="J103" s="126"/>
      <c r="K103" s="126"/>
      <c r="L103" s="126"/>
      <c r="M103" s="126"/>
      <c r="N103" s="126"/>
      <c r="O103" s="126"/>
      <c r="P103" s="126"/>
      <c r="Q103" s="126"/>
      <c r="R103" s="126"/>
      <c r="S103" s="126"/>
      <c r="T103" s="126"/>
      <c r="U103" s="126"/>
      <c r="V103" s="126"/>
    </row>
    <row r="104" spans="1:22" s="8" customFormat="1" ht="27" customHeight="1">
      <c r="A104" s="100" t="s">
        <v>1</v>
      </c>
      <c r="B104" s="70"/>
      <c r="C104" s="104" t="s">
        <v>25</v>
      </c>
      <c r="D104" s="105"/>
      <c r="E104" s="105"/>
      <c r="F104" s="105"/>
      <c r="G104" s="105"/>
      <c r="H104" s="105"/>
      <c r="I104" s="105"/>
      <c r="J104" s="106"/>
      <c r="K104" s="66" t="s">
        <v>13</v>
      </c>
      <c r="L104" s="66"/>
      <c r="M104" s="70" t="s">
        <v>8</v>
      </c>
      <c r="N104" s="70"/>
      <c r="O104" s="69" t="s">
        <v>16</v>
      </c>
      <c r="P104" s="69"/>
      <c r="Q104" s="69" t="s">
        <v>83</v>
      </c>
      <c r="R104" s="69"/>
      <c r="S104" s="70" t="s">
        <v>6</v>
      </c>
      <c r="T104" s="70"/>
      <c r="U104" s="70" t="s">
        <v>7</v>
      </c>
      <c r="V104" s="77"/>
    </row>
    <row r="105" spans="1:22" s="8" customFormat="1" ht="17.25" customHeight="1">
      <c r="A105" s="99"/>
      <c r="B105" s="65"/>
      <c r="C105" s="190"/>
      <c r="D105" s="191"/>
      <c r="E105" s="191"/>
      <c r="F105" s="191"/>
      <c r="G105" s="191"/>
      <c r="H105" s="191"/>
      <c r="I105" s="191"/>
      <c r="J105" s="192"/>
      <c r="K105" s="58"/>
      <c r="L105" s="58"/>
      <c r="M105" s="58"/>
      <c r="N105" s="58"/>
      <c r="O105" s="43" t="str">
        <f>IFERROR(VLOOKUP($K105,$A$45:$G$51,5,FALSE),"")</f>
        <v/>
      </c>
      <c r="P105" s="112"/>
      <c r="Q105" s="71">
        <f>IFERROR(VLOOKUP($K105,$A$45:$G$51,7,FALSE),0)</f>
        <v>0</v>
      </c>
      <c r="R105" s="71"/>
      <c r="S105" s="72">
        <f>ROUND(M105*Q105,0)</f>
        <v>0</v>
      </c>
      <c r="T105" s="72"/>
      <c r="U105" s="67"/>
      <c r="V105" s="68"/>
    </row>
    <row r="106" spans="1:22" s="8" customFormat="1" ht="17.25" customHeight="1">
      <c r="A106" s="99"/>
      <c r="B106" s="65"/>
      <c r="C106" s="190"/>
      <c r="D106" s="191"/>
      <c r="E106" s="191"/>
      <c r="F106" s="191"/>
      <c r="G106" s="191"/>
      <c r="H106" s="191"/>
      <c r="I106" s="191"/>
      <c r="J106" s="192"/>
      <c r="K106" s="58"/>
      <c r="L106" s="58"/>
      <c r="M106" s="58"/>
      <c r="N106" s="58"/>
      <c r="O106" s="43" t="str">
        <f>IFERROR(VLOOKUP($K106,$A$45:$G$51,5,FALSE),"")</f>
        <v/>
      </c>
      <c r="P106" s="112"/>
      <c r="Q106" s="71">
        <f>IFERROR(VLOOKUP($K106,$A$45:$G$51,7,FALSE),0)</f>
        <v>0</v>
      </c>
      <c r="R106" s="71"/>
      <c r="S106" s="72">
        <f t="shared" ref="S106:S109" si="11">ROUND(M106*Q106,0)</f>
        <v>0</v>
      </c>
      <c r="T106" s="72"/>
      <c r="U106" s="67"/>
      <c r="V106" s="68"/>
    </row>
    <row r="107" spans="1:22" s="8" customFormat="1" ht="17.25" customHeight="1">
      <c r="A107" s="99"/>
      <c r="B107" s="65"/>
      <c r="C107" s="190"/>
      <c r="D107" s="191"/>
      <c r="E107" s="191"/>
      <c r="F107" s="191"/>
      <c r="G107" s="191"/>
      <c r="H107" s="191"/>
      <c r="I107" s="191"/>
      <c r="J107" s="192"/>
      <c r="K107" s="58"/>
      <c r="L107" s="58"/>
      <c r="M107" s="58"/>
      <c r="N107" s="58"/>
      <c r="O107" s="43" t="str">
        <f>IFERROR(VLOOKUP($K107,$A$45:$G$51,5,FALSE),"")</f>
        <v/>
      </c>
      <c r="P107" s="112"/>
      <c r="Q107" s="71">
        <f>IFERROR(VLOOKUP($K107,$A$45:$G$51,7,FALSE),0)</f>
        <v>0</v>
      </c>
      <c r="R107" s="71"/>
      <c r="S107" s="72">
        <f t="shared" si="11"/>
        <v>0</v>
      </c>
      <c r="T107" s="72"/>
      <c r="U107" s="67"/>
      <c r="V107" s="68"/>
    </row>
    <row r="108" spans="1:22" s="8" customFormat="1" ht="17.25" customHeight="1">
      <c r="A108" s="99"/>
      <c r="B108" s="65"/>
      <c r="C108" s="190"/>
      <c r="D108" s="191"/>
      <c r="E108" s="191"/>
      <c r="F108" s="191"/>
      <c r="G108" s="191"/>
      <c r="H108" s="191"/>
      <c r="I108" s="191"/>
      <c r="J108" s="192"/>
      <c r="K108" s="58"/>
      <c r="L108" s="58"/>
      <c r="M108" s="58"/>
      <c r="N108" s="58"/>
      <c r="O108" s="43" t="str">
        <f>IFERROR(VLOOKUP($K108,$A$45:$G$51,5,FALSE),"")</f>
        <v/>
      </c>
      <c r="P108" s="112"/>
      <c r="Q108" s="71">
        <f>IFERROR(VLOOKUP($K108,$A$45:$G$51,7,FALSE),0)</f>
        <v>0</v>
      </c>
      <c r="R108" s="71"/>
      <c r="S108" s="72">
        <f t="shared" si="11"/>
        <v>0</v>
      </c>
      <c r="T108" s="72"/>
      <c r="U108" s="67"/>
      <c r="V108" s="68"/>
    </row>
    <row r="109" spans="1:22" s="8" customFormat="1" ht="17.25" customHeight="1">
      <c r="A109" s="99"/>
      <c r="B109" s="65"/>
      <c r="C109" s="190"/>
      <c r="D109" s="191"/>
      <c r="E109" s="191"/>
      <c r="F109" s="191"/>
      <c r="G109" s="191"/>
      <c r="H109" s="191"/>
      <c r="I109" s="191"/>
      <c r="J109" s="192"/>
      <c r="K109" s="58"/>
      <c r="L109" s="58"/>
      <c r="M109" s="58"/>
      <c r="N109" s="58"/>
      <c r="O109" s="43" t="str">
        <f>IFERROR(VLOOKUP($K109,$A$45:$G$51,5,FALSE),"")</f>
        <v/>
      </c>
      <c r="P109" s="112"/>
      <c r="Q109" s="71">
        <f>IFERROR(VLOOKUP($K109,$A$45:$G$51,7,FALSE),0)</f>
        <v>0</v>
      </c>
      <c r="R109" s="71"/>
      <c r="S109" s="72">
        <f t="shared" si="11"/>
        <v>0</v>
      </c>
      <c r="T109" s="72"/>
      <c r="U109" s="67"/>
      <c r="V109" s="68"/>
    </row>
    <row r="110" spans="1:22" s="8" customFormat="1" ht="17.25" customHeight="1">
      <c r="A110" s="73" t="s">
        <v>11</v>
      </c>
      <c r="B110" s="74"/>
      <c r="C110" s="74"/>
      <c r="D110" s="74"/>
      <c r="E110" s="74"/>
      <c r="F110" s="74"/>
      <c r="G110" s="74"/>
      <c r="H110" s="74"/>
      <c r="I110" s="74"/>
      <c r="J110" s="74"/>
      <c r="K110" s="74"/>
      <c r="L110" s="74"/>
      <c r="M110" s="74"/>
      <c r="N110" s="74"/>
      <c r="O110" s="74"/>
      <c r="P110" s="74"/>
      <c r="Q110" s="74"/>
      <c r="R110" s="74"/>
      <c r="S110" s="182">
        <f>SUM(S105:T109)</f>
        <v>0</v>
      </c>
      <c r="T110" s="182"/>
      <c r="U110" s="138"/>
      <c r="V110" s="140"/>
    </row>
    <row r="111" spans="1:22" s="8" customFormat="1" ht="17.25" customHeight="1"/>
    <row r="112" spans="1:22" s="1" customFormat="1" ht="17.25" customHeight="1">
      <c r="A112" s="125" t="s">
        <v>103</v>
      </c>
      <c r="B112" s="125"/>
      <c r="C112" s="125"/>
      <c r="D112" s="126" t="s">
        <v>76</v>
      </c>
      <c r="E112" s="126"/>
      <c r="F112" s="126"/>
      <c r="G112" s="126"/>
      <c r="H112" s="126"/>
      <c r="I112" s="126"/>
      <c r="J112" s="126"/>
      <c r="K112" s="126"/>
      <c r="L112" s="126"/>
      <c r="M112" s="126"/>
      <c r="N112" s="126"/>
      <c r="O112" s="126"/>
      <c r="P112" s="126"/>
      <c r="Q112" s="126"/>
      <c r="R112" s="126"/>
      <c r="S112" s="126"/>
      <c r="T112" s="126"/>
      <c r="U112" s="126"/>
      <c r="V112" s="126"/>
    </row>
    <row r="113" spans="1:23" s="1" customFormat="1" ht="27.75" customHeight="1">
      <c r="A113" s="100" t="s">
        <v>1</v>
      </c>
      <c r="B113" s="70"/>
      <c r="C113" s="70" t="s">
        <v>25</v>
      </c>
      <c r="D113" s="70"/>
      <c r="E113" s="70"/>
      <c r="F113" s="70"/>
      <c r="G113" s="70"/>
      <c r="H113" s="70"/>
      <c r="I113" s="70"/>
      <c r="J113" s="70"/>
      <c r="K113" s="66" t="s">
        <v>13</v>
      </c>
      <c r="L113" s="66"/>
      <c r="M113" s="70" t="s">
        <v>8</v>
      </c>
      <c r="N113" s="70"/>
      <c r="O113" s="69" t="s">
        <v>16</v>
      </c>
      <c r="P113" s="69"/>
      <c r="Q113" s="69" t="s">
        <v>83</v>
      </c>
      <c r="R113" s="69"/>
      <c r="S113" s="70" t="s">
        <v>6</v>
      </c>
      <c r="T113" s="70"/>
      <c r="U113" s="70" t="s">
        <v>7</v>
      </c>
      <c r="V113" s="77"/>
    </row>
    <row r="114" spans="1:23" s="1" customFormat="1" ht="17.25" customHeight="1">
      <c r="A114" s="99"/>
      <c r="B114" s="65"/>
      <c r="C114" s="58"/>
      <c r="D114" s="58"/>
      <c r="E114" s="58"/>
      <c r="F114" s="58"/>
      <c r="G114" s="58"/>
      <c r="H114" s="58"/>
      <c r="I114" s="58"/>
      <c r="J114" s="58"/>
      <c r="K114" s="58"/>
      <c r="L114" s="58"/>
      <c r="M114" s="58"/>
      <c r="N114" s="58"/>
      <c r="O114" s="47" t="str">
        <f>IFERROR(VLOOKUP($K114,$A$45:$G$51,5,FALSE),"")</f>
        <v/>
      </c>
      <c r="P114" s="47"/>
      <c r="Q114" s="71">
        <f>IFERROR(VLOOKUP($K114,$A$45:$G$51,7,FALSE),0)</f>
        <v>0</v>
      </c>
      <c r="R114" s="71"/>
      <c r="S114" s="72">
        <f>ROUND(M114*Q114,0)</f>
        <v>0</v>
      </c>
      <c r="T114" s="72"/>
      <c r="U114" s="67"/>
      <c r="V114" s="68"/>
    </row>
    <row r="115" spans="1:23" s="1" customFormat="1" ht="17.25" customHeight="1">
      <c r="A115" s="99"/>
      <c r="B115" s="65"/>
      <c r="C115" s="58"/>
      <c r="D115" s="58"/>
      <c r="E115" s="58"/>
      <c r="F115" s="58"/>
      <c r="G115" s="58"/>
      <c r="H115" s="58"/>
      <c r="I115" s="58"/>
      <c r="J115" s="58"/>
      <c r="K115" s="58"/>
      <c r="L115" s="58"/>
      <c r="M115" s="58"/>
      <c r="N115" s="58"/>
      <c r="O115" s="47" t="str">
        <f>IFERROR(VLOOKUP($K115,$A$45:$G$51,5,FALSE),"")</f>
        <v/>
      </c>
      <c r="P115" s="47"/>
      <c r="Q115" s="71">
        <f>IFERROR(VLOOKUP($K115,$A$45:$G$51,7,FALSE),0)</f>
        <v>0</v>
      </c>
      <c r="R115" s="71"/>
      <c r="S115" s="72">
        <f t="shared" ref="S115:S118" si="12">ROUND(M115*Q115,0)</f>
        <v>0</v>
      </c>
      <c r="T115" s="72"/>
      <c r="U115" s="67"/>
      <c r="V115" s="68"/>
    </row>
    <row r="116" spans="1:23" s="1" customFormat="1" ht="17.25" customHeight="1">
      <c r="A116" s="99"/>
      <c r="B116" s="65"/>
      <c r="C116" s="58"/>
      <c r="D116" s="58"/>
      <c r="E116" s="58"/>
      <c r="F116" s="58"/>
      <c r="G116" s="58"/>
      <c r="H116" s="58"/>
      <c r="I116" s="58"/>
      <c r="J116" s="58"/>
      <c r="K116" s="58"/>
      <c r="L116" s="58"/>
      <c r="M116" s="58"/>
      <c r="N116" s="58"/>
      <c r="O116" s="47" t="str">
        <f>IFERROR(VLOOKUP($K116,$A$45:$G$51,5,FALSE),"")</f>
        <v/>
      </c>
      <c r="P116" s="47"/>
      <c r="Q116" s="71">
        <f>IFERROR(VLOOKUP($K116,$A$45:$G$51,7,FALSE),0)</f>
        <v>0</v>
      </c>
      <c r="R116" s="71"/>
      <c r="S116" s="72">
        <f t="shared" si="12"/>
        <v>0</v>
      </c>
      <c r="T116" s="72"/>
      <c r="U116" s="67"/>
      <c r="V116" s="68"/>
    </row>
    <row r="117" spans="1:23" s="1" customFormat="1" ht="17.25" customHeight="1">
      <c r="A117" s="99"/>
      <c r="B117" s="65"/>
      <c r="C117" s="58"/>
      <c r="D117" s="58"/>
      <c r="E117" s="58"/>
      <c r="F117" s="58"/>
      <c r="G117" s="58"/>
      <c r="H117" s="58"/>
      <c r="I117" s="58"/>
      <c r="J117" s="58"/>
      <c r="K117" s="58"/>
      <c r="L117" s="58"/>
      <c r="M117" s="58"/>
      <c r="N117" s="58"/>
      <c r="O117" s="47" t="str">
        <f>IFERROR(VLOOKUP($K117,$A$45:$G$51,5,FALSE),"")</f>
        <v/>
      </c>
      <c r="P117" s="47"/>
      <c r="Q117" s="71">
        <f>IFERROR(VLOOKUP($K117,$A$45:$G$51,7,FALSE),0)</f>
        <v>0</v>
      </c>
      <c r="R117" s="71"/>
      <c r="S117" s="72">
        <f t="shared" si="12"/>
        <v>0</v>
      </c>
      <c r="T117" s="72"/>
      <c r="U117" s="67"/>
      <c r="V117" s="68"/>
    </row>
    <row r="118" spans="1:23" s="1" customFormat="1" ht="17.25" customHeight="1">
      <c r="A118" s="99"/>
      <c r="B118" s="65"/>
      <c r="C118" s="58"/>
      <c r="D118" s="58"/>
      <c r="E118" s="58"/>
      <c r="F118" s="58"/>
      <c r="G118" s="58"/>
      <c r="H118" s="58"/>
      <c r="I118" s="58"/>
      <c r="J118" s="58"/>
      <c r="K118" s="58"/>
      <c r="L118" s="58"/>
      <c r="M118" s="58"/>
      <c r="N118" s="58"/>
      <c r="O118" s="47" t="str">
        <f>IFERROR(VLOOKUP($K118,$A$45:$G$51,5,FALSE),"")</f>
        <v/>
      </c>
      <c r="P118" s="47"/>
      <c r="Q118" s="71">
        <f>IFERROR(VLOOKUP($K118,$A$45:$G$51,7,FALSE),0)</f>
        <v>0</v>
      </c>
      <c r="R118" s="71"/>
      <c r="S118" s="72">
        <f t="shared" si="12"/>
        <v>0</v>
      </c>
      <c r="T118" s="72"/>
      <c r="U118" s="67"/>
      <c r="V118" s="68"/>
    </row>
    <row r="119" spans="1:23" s="1" customFormat="1" ht="17.25" customHeight="1">
      <c r="A119" s="73" t="s">
        <v>11</v>
      </c>
      <c r="B119" s="74"/>
      <c r="C119" s="74"/>
      <c r="D119" s="74"/>
      <c r="E119" s="74"/>
      <c r="F119" s="74"/>
      <c r="G119" s="74"/>
      <c r="H119" s="74"/>
      <c r="I119" s="74"/>
      <c r="J119" s="74"/>
      <c r="K119" s="74"/>
      <c r="L119" s="74"/>
      <c r="M119" s="74"/>
      <c r="N119" s="74"/>
      <c r="O119" s="74"/>
      <c r="P119" s="74"/>
      <c r="Q119" s="74"/>
      <c r="R119" s="74"/>
      <c r="S119" s="182">
        <f>SUM(S114:T118)</f>
        <v>0</v>
      </c>
      <c r="T119" s="182"/>
      <c r="U119" s="183"/>
      <c r="V119" s="184"/>
    </row>
    <row r="120" spans="1:23" s="1" customFormat="1" ht="17.25" customHeight="1"/>
    <row r="121" spans="1:23" s="8" customFormat="1" ht="17.25" customHeight="1">
      <c r="A121" s="75" t="s">
        <v>134</v>
      </c>
      <c r="B121" s="75"/>
      <c r="C121" s="75"/>
      <c r="D121" s="75"/>
      <c r="E121" s="75"/>
      <c r="F121" s="217" t="s">
        <v>157</v>
      </c>
      <c r="G121" s="217"/>
      <c r="H121" s="217"/>
      <c r="I121" s="217"/>
      <c r="J121" s="217"/>
      <c r="K121" s="217"/>
      <c r="L121" s="217"/>
      <c r="M121" s="231" t="str">
        <f>IF(AND(T122&amp;T129&amp;T136&amp;T143&amp;T181&amp;T187&amp;T193&amp;T199="",T127+T134+T141+T148+T185+T191+T197+T203&gt;=3000),"【！】交際費・会議費稟議承認（稟議番号）が必要です【！】","")</f>
        <v/>
      </c>
      <c r="N121" s="231"/>
      <c r="O121" s="231"/>
      <c r="P121" s="231"/>
      <c r="Q121" s="231"/>
      <c r="R121" s="231"/>
      <c r="S121" s="231"/>
      <c r="T121" s="231"/>
      <c r="U121" s="231"/>
      <c r="V121" s="231"/>
    </row>
    <row r="122" spans="1:23" s="8" customFormat="1" ht="17.25" customHeight="1">
      <c r="A122" s="100" t="s">
        <v>128</v>
      </c>
      <c r="B122" s="70"/>
      <c r="C122" s="70"/>
      <c r="D122" s="130"/>
      <c r="E122" s="130"/>
      <c r="F122" s="130"/>
      <c r="G122" s="130"/>
      <c r="H122" s="130"/>
      <c r="I122" s="130"/>
      <c r="J122" s="130"/>
      <c r="K122" s="130"/>
      <c r="L122" s="78" t="s">
        <v>1</v>
      </c>
      <c r="M122" s="78"/>
      <c r="N122" s="78"/>
      <c r="O122" s="195"/>
      <c r="P122" s="128"/>
      <c r="Q122" s="70" t="s">
        <v>57</v>
      </c>
      <c r="R122" s="70"/>
      <c r="S122" s="70"/>
      <c r="T122" s="130"/>
      <c r="U122" s="130"/>
      <c r="V122" s="194"/>
    </row>
    <row r="123" spans="1:23" s="8" customFormat="1" ht="17.25" customHeight="1">
      <c r="A123" s="76" t="s">
        <v>51</v>
      </c>
      <c r="B123" s="57"/>
      <c r="C123" s="57"/>
      <c r="D123" s="58"/>
      <c r="E123" s="58"/>
      <c r="F123" s="58"/>
      <c r="G123" s="58"/>
      <c r="H123" s="58"/>
      <c r="I123" s="58"/>
      <c r="J123" s="58"/>
      <c r="K123" s="58"/>
      <c r="L123" s="57" t="s">
        <v>7</v>
      </c>
      <c r="M123" s="57"/>
      <c r="N123" s="57"/>
      <c r="O123" s="58"/>
      <c r="P123" s="58"/>
      <c r="Q123" s="57" t="s">
        <v>129</v>
      </c>
      <c r="R123" s="57"/>
      <c r="S123" s="57"/>
      <c r="T123" s="58"/>
      <c r="U123" s="58"/>
      <c r="V123" s="148"/>
    </row>
    <row r="124" spans="1:23" s="8" customFormat="1" ht="17.25" customHeight="1">
      <c r="A124" s="76" t="s">
        <v>52</v>
      </c>
      <c r="B124" s="57"/>
      <c r="C124" s="57"/>
      <c r="D124" s="58"/>
      <c r="E124" s="58"/>
      <c r="F124" s="58"/>
      <c r="G124" s="58"/>
      <c r="H124" s="58"/>
      <c r="I124" s="58"/>
      <c r="J124" s="58"/>
      <c r="K124" s="58"/>
      <c r="L124" s="57" t="s">
        <v>59</v>
      </c>
      <c r="M124" s="57"/>
      <c r="N124" s="57"/>
      <c r="O124" s="58"/>
      <c r="P124" s="58"/>
      <c r="Q124" s="57" t="s">
        <v>81</v>
      </c>
      <c r="R124" s="57"/>
      <c r="S124" s="57"/>
      <c r="T124" s="58"/>
      <c r="U124" s="58"/>
      <c r="V124" s="148"/>
    </row>
    <row r="125" spans="1:23" s="8" customFormat="1" ht="17.25" customHeight="1">
      <c r="A125" s="76" t="s">
        <v>53</v>
      </c>
      <c r="B125" s="57"/>
      <c r="C125" s="57"/>
      <c r="D125" s="58"/>
      <c r="E125" s="58"/>
      <c r="F125" s="58"/>
      <c r="G125" s="58"/>
      <c r="H125" s="58"/>
      <c r="I125" s="58"/>
      <c r="J125" s="58"/>
      <c r="K125" s="58"/>
      <c r="L125" s="57" t="s">
        <v>60</v>
      </c>
      <c r="M125" s="57"/>
      <c r="N125" s="57"/>
      <c r="O125" s="58"/>
      <c r="P125" s="58"/>
      <c r="Q125" s="57" t="s">
        <v>6</v>
      </c>
      <c r="R125" s="57"/>
      <c r="S125" s="57"/>
      <c r="T125" s="151">
        <f>ROUND(T124*O128,0)</f>
        <v>0</v>
      </c>
      <c r="U125" s="151"/>
      <c r="V125" s="152"/>
    </row>
    <row r="126" spans="1:23" s="8" customFormat="1" ht="17.25" customHeight="1">
      <c r="A126" s="76" t="s">
        <v>130</v>
      </c>
      <c r="B126" s="57"/>
      <c r="C126" s="57"/>
      <c r="D126" s="58"/>
      <c r="E126" s="58"/>
      <c r="F126" s="58"/>
      <c r="G126" s="58"/>
      <c r="H126" s="58"/>
      <c r="I126" s="58"/>
      <c r="J126" s="58"/>
      <c r="K126" s="58"/>
      <c r="L126" s="149" t="s">
        <v>61</v>
      </c>
      <c r="M126" s="149"/>
      <c r="N126" s="149"/>
      <c r="O126" s="150">
        <f>SUM(O124:P125)</f>
        <v>0</v>
      </c>
      <c r="P126" s="150"/>
      <c r="Q126" s="57" t="s">
        <v>56</v>
      </c>
      <c r="R126" s="57"/>
      <c r="S126" s="57"/>
      <c r="T126" s="151">
        <f>IFERROR(ROUND(T125/O126,0),0)</f>
        <v>0</v>
      </c>
      <c r="U126" s="151"/>
      <c r="V126" s="152"/>
      <c r="W126" s="24" t="str">
        <f>IF(T126=0,"",IF(AND(D122="海外での会議費用（一人5000円以下の飲食代）",T126&gt;5000),"【！】会議費ではありません【！】",IF(AND(D122="海外での飲食接待費（一人5000円超の飲食代）",T126&lt;=5000),"【！】交際費ではありません【！】","")))</f>
        <v/>
      </c>
    </row>
    <row r="127" spans="1:23" s="8" customFormat="1" ht="17.25" customHeight="1">
      <c r="A127" s="76" t="s">
        <v>54</v>
      </c>
      <c r="B127" s="57"/>
      <c r="C127" s="57"/>
      <c r="D127" s="58"/>
      <c r="E127" s="58"/>
      <c r="F127" s="58"/>
      <c r="G127" s="58"/>
      <c r="H127" s="58"/>
      <c r="I127" s="58"/>
      <c r="J127" s="58"/>
      <c r="K127" s="58"/>
      <c r="L127" s="149" t="s">
        <v>82</v>
      </c>
      <c r="M127" s="149"/>
      <c r="N127" s="149"/>
      <c r="O127" s="47" t="str">
        <f>IFERROR(VLOOKUP($T123,$A$45:$G$51,5,FALSE),"")</f>
        <v/>
      </c>
      <c r="P127" s="47"/>
      <c r="Q127" s="57" t="s">
        <v>58</v>
      </c>
      <c r="R127" s="57"/>
      <c r="S127" s="57"/>
      <c r="T127" s="151">
        <f>T125</f>
        <v>0</v>
      </c>
      <c r="U127" s="151"/>
      <c r="V127" s="152"/>
    </row>
    <row r="128" spans="1:23" s="8" customFormat="1" ht="17.25" customHeight="1">
      <c r="A128" s="153" t="s">
        <v>169</v>
      </c>
      <c r="B128" s="154"/>
      <c r="C128" s="154"/>
      <c r="D128" s="155" t="str">
        <f>IFERROR(VLOOKUP(D122,Sheet2!$A$3:$C$6,2,FALSE),"")</f>
        <v/>
      </c>
      <c r="E128" s="155"/>
      <c r="F128" s="155"/>
      <c r="G128" s="155"/>
      <c r="H128" s="155"/>
      <c r="I128" s="155"/>
      <c r="J128" s="155"/>
      <c r="K128" s="155"/>
      <c r="L128" s="149" t="s">
        <v>84</v>
      </c>
      <c r="M128" s="149"/>
      <c r="N128" s="149"/>
      <c r="O128" s="71">
        <f>IFERROR(VLOOKUP($T123,$A$45:$G$51,7,FALSE),0)</f>
        <v>0</v>
      </c>
      <c r="P128" s="71"/>
      <c r="Q128" s="154" t="s">
        <v>131</v>
      </c>
      <c r="R128" s="154"/>
      <c r="S128" s="154"/>
      <c r="T128" s="155" t="str">
        <f>IF(D128="","",VLOOKUP(D128,Sheet2!$B$3:$C$6,2,FALSE))</f>
        <v/>
      </c>
      <c r="U128" s="155"/>
      <c r="V128" s="206"/>
    </row>
    <row r="129" spans="1:23" s="8" customFormat="1" ht="17.25" customHeight="1">
      <c r="A129" s="100" t="s">
        <v>128</v>
      </c>
      <c r="B129" s="70"/>
      <c r="C129" s="70"/>
      <c r="D129" s="130"/>
      <c r="E129" s="130"/>
      <c r="F129" s="130"/>
      <c r="G129" s="130"/>
      <c r="H129" s="130"/>
      <c r="I129" s="130"/>
      <c r="J129" s="130"/>
      <c r="K129" s="130"/>
      <c r="L129" s="70" t="s">
        <v>1</v>
      </c>
      <c r="M129" s="70"/>
      <c r="N129" s="70"/>
      <c r="O129" s="207"/>
      <c r="P129" s="130"/>
      <c r="Q129" s="70" t="s">
        <v>57</v>
      </c>
      <c r="R129" s="70"/>
      <c r="S129" s="70"/>
      <c r="T129" s="130"/>
      <c r="U129" s="130"/>
      <c r="V129" s="194"/>
    </row>
    <row r="130" spans="1:23" s="8" customFormat="1" ht="17.25" customHeight="1">
      <c r="A130" s="76" t="s">
        <v>51</v>
      </c>
      <c r="B130" s="57"/>
      <c r="C130" s="57"/>
      <c r="D130" s="58"/>
      <c r="E130" s="58"/>
      <c r="F130" s="58"/>
      <c r="G130" s="58"/>
      <c r="H130" s="58"/>
      <c r="I130" s="58"/>
      <c r="J130" s="58"/>
      <c r="K130" s="58"/>
      <c r="L130" s="57" t="s">
        <v>7</v>
      </c>
      <c r="M130" s="57"/>
      <c r="N130" s="57"/>
      <c r="O130" s="58"/>
      <c r="P130" s="58"/>
      <c r="Q130" s="57" t="s">
        <v>129</v>
      </c>
      <c r="R130" s="57"/>
      <c r="S130" s="57"/>
      <c r="T130" s="58"/>
      <c r="U130" s="58"/>
      <c r="V130" s="148"/>
    </row>
    <row r="131" spans="1:23" s="8" customFormat="1" ht="17.25" customHeight="1">
      <c r="A131" s="76" t="s">
        <v>52</v>
      </c>
      <c r="B131" s="57"/>
      <c r="C131" s="57"/>
      <c r="D131" s="58"/>
      <c r="E131" s="58"/>
      <c r="F131" s="58"/>
      <c r="G131" s="58"/>
      <c r="H131" s="58"/>
      <c r="I131" s="58"/>
      <c r="J131" s="58"/>
      <c r="K131" s="58"/>
      <c r="L131" s="57" t="s">
        <v>59</v>
      </c>
      <c r="M131" s="57"/>
      <c r="N131" s="57"/>
      <c r="O131" s="58"/>
      <c r="P131" s="58"/>
      <c r="Q131" s="57" t="s">
        <v>8</v>
      </c>
      <c r="R131" s="57"/>
      <c r="S131" s="57"/>
      <c r="T131" s="58"/>
      <c r="U131" s="58"/>
      <c r="V131" s="148"/>
    </row>
    <row r="132" spans="1:23" s="8" customFormat="1" ht="17.25" customHeight="1">
      <c r="A132" s="76" t="s">
        <v>53</v>
      </c>
      <c r="B132" s="57"/>
      <c r="C132" s="57"/>
      <c r="D132" s="58"/>
      <c r="E132" s="58"/>
      <c r="F132" s="58"/>
      <c r="G132" s="58"/>
      <c r="H132" s="58"/>
      <c r="I132" s="58"/>
      <c r="J132" s="58"/>
      <c r="K132" s="58"/>
      <c r="L132" s="57" t="s">
        <v>60</v>
      </c>
      <c r="M132" s="57"/>
      <c r="N132" s="57"/>
      <c r="O132" s="58"/>
      <c r="P132" s="58"/>
      <c r="Q132" s="57" t="s">
        <v>6</v>
      </c>
      <c r="R132" s="57"/>
      <c r="S132" s="57"/>
      <c r="T132" s="151">
        <f>ROUND(T131*O135,0)</f>
        <v>0</v>
      </c>
      <c r="U132" s="151"/>
      <c r="V132" s="152"/>
    </row>
    <row r="133" spans="1:23" s="8" customFormat="1" ht="17.25" customHeight="1">
      <c r="A133" s="76" t="s">
        <v>130</v>
      </c>
      <c r="B133" s="57"/>
      <c r="C133" s="57"/>
      <c r="D133" s="58"/>
      <c r="E133" s="58"/>
      <c r="F133" s="58"/>
      <c r="G133" s="58"/>
      <c r="H133" s="58"/>
      <c r="I133" s="58"/>
      <c r="J133" s="58"/>
      <c r="K133" s="58"/>
      <c r="L133" s="149" t="s">
        <v>61</v>
      </c>
      <c r="M133" s="149"/>
      <c r="N133" s="149"/>
      <c r="O133" s="150">
        <f>SUM(O131:P132)</f>
        <v>0</v>
      </c>
      <c r="P133" s="150"/>
      <c r="Q133" s="57" t="s">
        <v>56</v>
      </c>
      <c r="R133" s="57"/>
      <c r="S133" s="57"/>
      <c r="T133" s="151">
        <f>IFERROR(ROUND(T132/O133,0),0)</f>
        <v>0</v>
      </c>
      <c r="U133" s="151"/>
      <c r="V133" s="152"/>
      <c r="W133" s="24" t="str">
        <f>IF(T133=0,"",IF(AND(D129="海外での会議費用（一人5000円以下の飲食代）",T133&gt;5000),"【！】会議費ではありません【！】",IF(AND(D129="海外での飲食接待費（一人5000円超の飲食代）",T133&lt;=5000),"【！】交際費ではありません【！】","")))</f>
        <v/>
      </c>
    </row>
    <row r="134" spans="1:23" s="8" customFormat="1" ht="17.25" customHeight="1">
      <c r="A134" s="76" t="s">
        <v>54</v>
      </c>
      <c r="B134" s="57"/>
      <c r="C134" s="57"/>
      <c r="D134" s="58"/>
      <c r="E134" s="58"/>
      <c r="F134" s="58"/>
      <c r="G134" s="58"/>
      <c r="H134" s="58"/>
      <c r="I134" s="58"/>
      <c r="J134" s="58"/>
      <c r="K134" s="58"/>
      <c r="L134" s="149" t="s">
        <v>82</v>
      </c>
      <c r="M134" s="149"/>
      <c r="N134" s="149"/>
      <c r="O134" s="47" t="str">
        <f>IFERROR(VLOOKUP($T130,$A$45:$G$51,5,FALSE),"")</f>
        <v/>
      </c>
      <c r="P134" s="47"/>
      <c r="Q134" s="57" t="s">
        <v>58</v>
      </c>
      <c r="R134" s="57"/>
      <c r="S134" s="57"/>
      <c r="T134" s="151">
        <f>T132</f>
        <v>0</v>
      </c>
      <c r="U134" s="151"/>
      <c r="V134" s="152"/>
    </row>
    <row r="135" spans="1:23" s="8" customFormat="1" ht="17.25" customHeight="1">
      <c r="A135" s="153" t="s">
        <v>169</v>
      </c>
      <c r="B135" s="154"/>
      <c r="C135" s="154"/>
      <c r="D135" s="155" t="str">
        <f>IFERROR(VLOOKUP(D129,Sheet2!$A$3:$C$6,2,FALSE),"")</f>
        <v/>
      </c>
      <c r="E135" s="155"/>
      <c r="F135" s="155"/>
      <c r="G135" s="155"/>
      <c r="H135" s="155"/>
      <c r="I135" s="155"/>
      <c r="J135" s="155"/>
      <c r="K135" s="155"/>
      <c r="L135" s="149" t="s">
        <v>84</v>
      </c>
      <c r="M135" s="149"/>
      <c r="N135" s="149"/>
      <c r="O135" s="71">
        <f>IFERROR(VLOOKUP($T130,$A$45:$G$51,7,FALSE),0)</f>
        <v>0</v>
      </c>
      <c r="P135" s="71"/>
      <c r="Q135" s="154" t="s">
        <v>131</v>
      </c>
      <c r="R135" s="154"/>
      <c r="S135" s="154"/>
      <c r="T135" s="155" t="str">
        <f>IF(D135="","",VLOOKUP(D135,Sheet2!$B$3:$C$6,2,FALSE))</f>
        <v/>
      </c>
      <c r="U135" s="155"/>
      <c r="V135" s="206"/>
    </row>
    <row r="136" spans="1:23" s="8" customFormat="1" ht="17.25" customHeight="1">
      <c r="A136" s="100" t="s">
        <v>128</v>
      </c>
      <c r="B136" s="70"/>
      <c r="C136" s="70"/>
      <c r="D136" s="130"/>
      <c r="E136" s="130"/>
      <c r="F136" s="130"/>
      <c r="G136" s="130"/>
      <c r="H136" s="130"/>
      <c r="I136" s="130"/>
      <c r="J136" s="130"/>
      <c r="K136" s="130"/>
      <c r="L136" s="70" t="s">
        <v>1</v>
      </c>
      <c r="M136" s="70"/>
      <c r="N136" s="70"/>
      <c r="O136" s="207"/>
      <c r="P136" s="130"/>
      <c r="Q136" s="70" t="s">
        <v>57</v>
      </c>
      <c r="R136" s="70"/>
      <c r="S136" s="70"/>
      <c r="T136" s="130"/>
      <c r="U136" s="130"/>
      <c r="V136" s="194"/>
    </row>
    <row r="137" spans="1:23" s="8" customFormat="1" ht="17.25" customHeight="1">
      <c r="A137" s="76" t="s">
        <v>51</v>
      </c>
      <c r="B137" s="57"/>
      <c r="C137" s="57"/>
      <c r="D137" s="58"/>
      <c r="E137" s="58"/>
      <c r="F137" s="58"/>
      <c r="G137" s="58"/>
      <c r="H137" s="58"/>
      <c r="I137" s="58"/>
      <c r="J137" s="58"/>
      <c r="K137" s="58"/>
      <c r="L137" s="57" t="s">
        <v>7</v>
      </c>
      <c r="M137" s="57"/>
      <c r="N137" s="57"/>
      <c r="O137" s="58"/>
      <c r="P137" s="58"/>
      <c r="Q137" s="57" t="s">
        <v>129</v>
      </c>
      <c r="R137" s="57"/>
      <c r="S137" s="57"/>
      <c r="T137" s="58"/>
      <c r="U137" s="58"/>
      <c r="V137" s="148"/>
    </row>
    <row r="138" spans="1:23" s="8" customFormat="1" ht="17.25" customHeight="1">
      <c r="A138" s="76" t="s">
        <v>52</v>
      </c>
      <c r="B138" s="57"/>
      <c r="C138" s="57"/>
      <c r="D138" s="58"/>
      <c r="E138" s="58"/>
      <c r="F138" s="58"/>
      <c r="G138" s="58"/>
      <c r="H138" s="58"/>
      <c r="I138" s="58"/>
      <c r="J138" s="58"/>
      <c r="K138" s="58"/>
      <c r="L138" s="57" t="s">
        <v>59</v>
      </c>
      <c r="M138" s="57"/>
      <c r="N138" s="57"/>
      <c r="O138" s="58"/>
      <c r="P138" s="58"/>
      <c r="Q138" s="57" t="s">
        <v>8</v>
      </c>
      <c r="R138" s="57"/>
      <c r="S138" s="57"/>
      <c r="T138" s="58"/>
      <c r="U138" s="58"/>
      <c r="V138" s="148"/>
    </row>
    <row r="139" spans="1:23" s="8" customFormat="1" ht="17.25" customHeight="1">
      <c r="A139" s="76" t="s">
        <v>53</v>
      </c>
      <c r="B139" s="57"/>
      <c r="C139" s="57"/>
      <c r="D139" s="58"/>
      <c r="E139" s="58"/>
      <c r="F139" s="58"/>
      <c r="G139" s="58"/>
      <c r="H139" s="58"/>
      <c r="I139" s="58"/>
      <c r="J139" s="58"/>
      <c r="K139" s="58"/>
      <c r="L139" s="57" t="s">
        <v>60</v>
      </c>
      <c r="M139" s="57"/>
      <c r="N139" s="57"/>
      <c r="O139" s="58"/>
      <c r="P139" s="58"/>
      <c r="Q139" s="57" t="s">
        <v>6</v>
      </c>
      <c r="R139" s="57"/>
      <c r="S139" s="57"/>
      <c r="T139" s="151">
        <f>ROUND(T138*O142,0)</f>
        <v>0</v>
      </c>
      <c r="U139" s="151"/>
      <c r="V139" s="152"/>
    </row>
    <row r="140" spans="1:23" s="8" customFormat="1" ht="17.25" customHeight="1">
      <c r="A140" s="76" t="s">
        <v>130</v>
      </c>
      <c r="B140" s="57"/>
      <c r="C140" s="57"/>
      <c r="D140" s="58"/>
      <c r="E140" s="58"/>
      <c r="F140" s="58"/>
      <c r="G140" s="58"/>
      <c r="H140" s="58"/>
      <c r="I140" s="58"/>
      <c r="J140" s="58"/>
      <c r="K140" s="58"/>
      <c r="L140" s="149" t="s">
        <v>61</v>
      </c>
      <c r="M140" s="149"/>
      <c r="N140" s="149"/>
      <c r="O140" s="150">
        <f>SUM(O138:P139)</f>
        <v>0</v>
      </c>
      <c r="P140" s="150"/>
      <c r="Q140" s="57" t="s">
        <v>56</v>
      </c>
      <c r="R140" s="57"/>
      <c r="S140" s="57"/>
      <c r="T140" s="151">
        <f>IFERROR(ROUND(T139/O140,0),0)</f>
        <v>0</v>
      </c>
      <c r="U140" s="151"/>
      <c r="V140" s="152"/>
      <c r="W140" s="24" t="str">
        <f>IF(T140=0,"",IF(AND(D136="海外での会議費用（一人5000円以下の飲食代）",T140&gt;5000),"【！】会議費ではありません【！】",IF(AND(D136="海外での飲食接待費（一人5000円超の飲食代）",T140&lt;=5000),"【！】交際費ではありません【！】","")))</f>
        <v/>
      </c>
    </row>
    <row r="141" spans="1:23" s="8" customFormat="1" ht="17.25" customHeight="1">
      <c r="A141" s="76" t="s">
        <v>54</v>
      </c>
      <c r="B141" s="57"/>
      <c r="C141" s="57"/>
      <c r="D141" s="58"/>
      <c r="E141" s="58"/>
      <c r="F141" s="58"/>
      <c r="G141" s="58"/>
      <c r="H141" s="58"/>
      <c r="I141" s="58"/>
      <c r="J141" s="58"/>
      <c r="K141" s="58"/>
      <c r="L141" s="149" t="s">
        <v>82</v>
      </c>
      <c r="M141" s="149"/>
      <c r="N141" s="149"/>
      <c r="O141" s="47" t="str">
        <f>IFERROR(VLOOKUP($T137,$A$45:$G$51,5,FALSE),"")</f>
        <v/>
      </c>
      <c r="P141" s="47"/>
      <c r="Q141" s="57" t="s">
        <v>58</v>
      </c>
      <c r="R141" s="57"/>
      <c r="S141" s="57"/>
      <c r="T141" s="151">
        <f>T139</f>
        <v>0</v>
      </c>
      <c r="U141" s="151"/>
      <c r="V141" s="152"/>
    </row>
    <row r="142" spans="1:23" s="8" customFormat="1" ht="17.25" customHeight="1">
      <c r="A142" s="153" t="s">
        <v>169</v>
      </c>
      <c r="B142" s="154"/>
      <c r="C142" s="154"/>
      <c r="D142" s="155" t="str">
        <f>IFERROR(VLOOKUP(D136,Sheet2!$A$3:$C$6,2,FALSE),"")</f>
        <v/>
      </c>
      <c r="E142" s="155"/>
      <c r="F142" s="155"/>
      <c r="G142" s="155"/>
      <c r="H142" s="155"/>
      <c r="I142" s="155"/>
      <c r="J142" s="155"/>
      <c r="K142" s="155"/>
      <c r="L142" s="149" t="s">
        <v>84</v>
      </c>
      <c r="M142" s="149"/>
      <c r="N142" s="149"/>
      <c r="O142" s="71">
        <f>IFERROR(VLOOKUP($T137,$A$45:$G$51,7,FALSE),0)</f>
        <v>0</v>
      </c>
      <c r="P142" s="71"/>
      <c r="Q142" s="154" t="s">
        <v>131</v>
      </c>
      <c r="R142" s="154"/>
      <c r="S142" s="154"/>
      <c r="T142" s="155" t="str">
        <f>IF(D142="","",VLOOKUP(D142,Sheet2!$B$3:$C$6,2,FALSE))</f>
        <v/>
      </c>
      <c r="U142" s="155"/>
      <c r="V142" s="206"/>
    </row>
    <row r="143" spans="1:23" s="8" customFormat="1" ht="17.25" customHeight="1">
      <c r="A143" s="100" t="s">
        <v>128</v>
      </c>
      <c r="B143" s="70"/>
      <c r="C143" s="70"/>
      <c r="D143" s="130"/>
      <c r="E143" s="130"/>
      <c r="F143" s="130"/>
      <c r="G143" s="130"/>
      <c r="H143" s="130"/>
      <c r="I143" s="130"/>
      <c r="J143" s="130"/>
      <c r="K143" s="130"/>
      <c r="L143" s="70" t="s">
        <v>1</v>
      </c>
      <c r="M143" s="70"/>
      <c r="N143" s="70"/>
      <c r="O143" s="207"/>
      <c r="P143" s="130"/>
      <c r="Q143" s="70" t="s">
        <v>57</v>
      </c>
      <c r="R143" s="70"/>
      <c r="S143" s="70"/>
      <c r="T143" s="130"/>
      <c r="U143" s="130"/>
      <c r="V143" s="194"/>
    </row>
    <row r="144" spans="1:23" s="8" customFormat="1" ht="17.25" customHeight="1">
      <c r="A144" s="76" t="s">
        <v>51</v>
      </c>
      <c r="B144" s="57"/>
      <c r="C144" s="57"/>
      <c r="D144" s="58"/>
      <c r="E144" s="58"/>
      <c r="F144" s="58"/>
      <c r="G144" s="58"/>
      <c r="H144" s="58"/>
      <c r="I144" s="58"/>
      <c r="J144" s="58"/>
      <c r="K144" s="58"/>
      <c r="L144" s="57" t="s">
        <v>7</v>
      </c>
      <c r="M144" s="57"/>
      <c r="N144" s="57"/>
      <c r="O144" s="58"/>
      <c r="P144" s="58"/>
      <c r="Q144" s="57" t="s">
        <v>129</v>
      </c>
      <c r="R144" s="57"/>
      <c r="S144" s="57"/>
      <c r="T144" s="58"/>
      <c r="U144" s="58"/>
      <c r="V144" s="148"/>
    </row>
    <row r="145" spans="1:23" s="8" customFormat="1" ht="17.25" customHeight="1">
      <c r="A145" s="76" t="s">
        <v>52</v>
      </c>
      <c r="B145" s="57"/>
      <c r="C145" s="57"/>
      <c r="D145" s="58"/>
      <c r="E145" s="58"/>
      <c r="F145" s="58"/>
      <c r="G145" s="58"/>
      <c r="H145" s="58"/>
      <c r="I145" s="58"/>
      <c r="J145" s="58"/>
      <c r="K145" s="58"/>
      <c r="L145" s="57" t="s">
        <v>59</v>
      </c>
      <c r="M145" s="57"/>
      <c r="N145" s="57"/>
      <c r="O145" s="58"/>
      <c r="P145" s="58"/>
      <c r="Q145" s="57" t="s">
        <v>8</v>
      </c>
      <c r="R145" s="57"/>
      <c r="S145" s="57"/>
      <c r="T145" s="58"/>
      <c r="U145" s="58"/>
      <c r="V145" s="148"/>
    </row>
    <row r="146" spans="1:23" s="8" customFormat="1" ht="17.25" customHeight="1">
      <c r="A146" s="76" t="s">
        <v>53</v>
      </c>
      <c r="B146" s="57"/>
      <c r="C146" s="57"/>
      <c r="D146" s="58"/>
      <c r="E146" s="58"/>
      <c r="F146" s="58"/>
      <c r="G146" s="58"/>
      <c r="H146" s="58"/>
      <c r="I146" s="58"/>
      <c r="J146" s="58"/>
      <c r="K146" s="58"/>
      <c r="L146" s="57" t="s">
        <v>60</v>
      </c>
      <c r="M146" s="57"/>
      <c r="N146" s="57"/>
      <c r="O146" s="58"/>
      <c r="P146" s="58"/>
      <c r="Q146" s="57" t="s">
        <v>6</v>
      </c>
      <c r="R146" s="57"/>
      <c r="S146" s="57"/>
      <c r="T146" s="151">
        <f>ROUND(T145*O149,0)</f>
        <v>0</v>
      </c>
      <c r="U146" s="151"/>
      <c r="V146" s="152"/>
    </row>
    <row r="147" spans="1:23" s="8" customFormat="1" ht="17.25" customHeight="1">
      <c r="A147" s="76" t="s">
        <v>130</v>
      </c>
      <c r="B147" s="57"/>
      <c r="C147" s="57"/>
      <c r="D147" s="58"/>
      <c r="E147" s="58"/>
      <c r="F147" s="58"/>
      <c r="G147" s="58"/>
      <c r="H147" s="58"/>
      <c r="I147" s="58"/>
      <c r="J147" s="58"/>
      <c r="K147" s="58"/>
      <c r="L147" s="149" t="s">
        <v>61</v>
      </c>
      <c r="M147" s="149"/>
      <c r="N147" s="149"/>
      <c r="O147" s="150">
        <f>SUM(O145:P146)</f>
        <v>0</v>
      </c>
      <c r="P147" s="150"/>
      <c r="Q147" s="57" t="s">
        <v>56</v>
      </c>
      <c r="R147" s="57"/>
      <c r="S147" s="57"/>
      <c r="T147" s="151">
        <f>IFERROR(ROUND(T146/O147,0),0)</f>
        <v>0</v>
      </c>
      <c r="U147" s="151"/>
      <c r="V147" s="152"/>
      <c r="W147" s="24" t="str">
        <f>IF(T147=0,"",IF(AND(D143="海外での会議費用（一人5000円以下の飲食代）",T147&gt;5000),"【！】会議費ではありません【！】",IF(AND(D143="海外での飲食接待費（一人5000円超の飲食代）",T147&lt;=5000),"【！】交際費ではありません【！】","")))</f>
        <v/>
      </c>
    </row>
    <row r="148" spans="1:23" s="8" customFormat="1" ht="17.25" customHeight="1">
      <c r="A148" s="76" t="s">
        <v>54</v>
      </c>
      <c r="B148" s="57"/>
      <c r="C148" s="57"/>
      <c r="D148" s="58"/>
      <c r="E148" s="58"/>
      <c r="F148" s="58"/>
      <c r="G148" s="58"/>
      <c r="H148" s="58"/>
      <c r="I148" s="58"/>
      <c r="J148" s="58"/>
      <c r="K148" s="58"/>
      <c r="L148" s="149" t="s">
        <v>82</v>
      </c>
      <c r="M148" s="149"/>
      <c r="N148" s="149"/>
      <c r="O148" s="47" t="str">
        <f>IFERROR(VLOOKUP($T144,$A$45:$G$51,5,FALSE),"")</f>
        <v/>
      </c>
      <c r="P148" s="47"/>
      <c r="Q148" s="57" t="s">
        <v>58</v>
      </c>
      <c r="R148" s="57"/>
      <c r="S148" s="57"/>
      <c r="T148" s="151">
        <f>T146</f>
        <v>0</v>
      </c>
      <c r="U148" s="151"/>
      <c r="V148" s="152"/>
    </row>
    <row r="149" spans="1:23" s="8" customFormat="1" ht="17.25" customHeight="1">
      <c r="A149" s="153" t="s">
        <v>169</v>
      </c>
      <c r="B149" s="154"/>
      <c r="C149" s="154"/>
      <c r="D149" s="155" t="str">
        <f>IFERROR(VLOOKUP(D143,Sheet2!$A$3:$C$6,2,FALSE),"")</f>
        <v/>
      </c>
      <c r="E149" s="155"/>
      <c r="F149" s="155"/>
      <c r="G149" s="155"/>
      <c r="H149" s="155"/>
      <c r="I149" s="155"/>
      <c r="J149" s="155"/>
      <c r="K149" s="155"/>
      <c r="L149" s="154" t="s">
        <v>84</v>
      </c>
      <c r="M149" s="154"/>
      <c r="N149" s="154"/>
      <c r="O149" s="212">
        <f>IFERROR(VLOOKUP($T144,$A$45:$G$51,7,FALSE),0)</f>
        <v>0</v>
      </c>
      <c r="P149" s="212"/>
      <c r="Q149" s="154" t="s">
        <v>131</v>
      </c>
      <c r="R149" s="154"/>
      <c r="S149" s="154"/>
      <c r="T149" s="155" t="str">
        <f>IF(D149="","",VLOOKUP(D149,Sheet2!$B$3:$C$6,2,FALSE))</f>
        <v/>
      </c>
      <c r="U149" s="155"/>
      <c r="V149" s="206"/>
    </row>
    <row r="150" spans="1:23" s="8" customFormat="1" ht="17.25" customHeight="1"/>
    <row r="151" spans="1:23" s="8" customFormat="1" ht="17.25" customHeight="1">
      <c r="A151" s="7"/>
    </row>
    <row r="152" spans="1:23" s="8" customFormat="1" ht="17.25" customHeight="1">
      <c r="A152" s="122" t="s">
        <v>109</v>
      </c>
      <c r="B152" s="122"/>
      <c r="C152" s="122"/>
      <c r="D152" s="122"/>
      <c r="E152" s="122"/>
      <c r="F152" s="122"/>
      <c r="G152" s="122"/>
      <c r="H152" s="122"/>
      <c r="I152" s="122"/>
      <c r="J152" s="122"/>
      <c r="K152" s="122"/>
      <c r="L152" s="122"/>
      <c r="M152" s="122"/>
      <c r="N152" s="122"/>
      <c r="O152" s="122"/>
      <c r="P152" s="122"/>
      <c r="Q152" s="122"/>
      <c r="R152" s="122"/>
      <c r="S152" s="122"/>
      <c r="T152" s="122"/>
      <c r="U152" s="122"/>
      <c r="V152" s="122"/>
    </row>
    <row r="153" spans="1:23" s="8" customFormat="1" ht="17.25" customHeight="1"/>
    <row r="154" spans="1:23" ht="17.25" customHeight="1">
      <c r="A154" s="125" t="s">
        <v>149</v>
      </c>
      <c r="B154" s="125"/>
      <c r="C154" s="125"/>
      <c r="D154" s="126" t="s">
        <v>126</v>
      </c>
      <c r="E154" s="126"/>
      <c r="F154" s="126"/>
      <c r="G154" s="126"/>
      <c r="H154" s="126"/>
      <c r="I154" s="126"/>
      <c r="J154" s="126"/>
      <c r="K154" s="126"/>
      <c r="L154" s="126"/>
      <c r="M154" s="126"/>
      <c r="N154" s="126"/>
      <c r="O154" s="126"/>
      <c r="P154" s="126"/>
      <c r="Q154" s="126"/>
      <c r="R154" s="126"/>
      <c r="S154" s="126"/>
      <c r="T154" s="126"/>
      <c r="U154" s="126"/>
      <c r="V154" s="126"/>
    </row>
    <row r="155" spans="1:23" ht="17.25" customHeight="1">
      <c r="A155" s="100" t="s">
        <v>1</v>
      </c>
      <c r="B155" s="70"/>
      <c r="C155" s="66" t="s">
        <v>124</v>
      </c>
      <c r="D155" s="66"/>
      <c r="E155" s="66"/>
      <c r="F155" s="66"/>
      <c r="G155" s="66" t="s">
        <v>113</v>
      </c>
      <c r="H155" s="66"/>
      <c r="I155" s="66"/>
      <c r="J155" s="66"/>
      <c r="K155" s="70" t="s">
        <v>5</v>
      </c>
      <c r="L155" s="70"/>
      <c r="M155" s="70" t="s">
        <v>48</v>
      </c>
      <c r="N155" s="70"/>
      <c r="O155" s="70"/>
      <c r="P155" s="70"/>
      <c r="Q155" s="70"/>
      <c r="R155" s="70"/>
      <c r="S155" s="70" t="s">
        <v>49</v>
      </c>
      <c r="T155" s="70"/>
      <c r="U155" s="70" t="s">
        <v>7</v>
      </c>
      <c r="V155" s="77"/>
    </row>
    <row r="156" spans="1:23" ht="17.25" customHeight="1">
      <c r="A156" s="99"/>
      <c r="B156" s="65"/>
      <c r="C156" s="58"/>
      <c r="D156" s="58"/>
      <c r="E156" s="58"/>
      <c r="F156" s="58"/>
      <c r="G156" s="58"/>
      <c r="H156" s="58"/>
      <c r="I156" s="58"/>
      <c r="J156" s="58"/>
      <c r="K156" s="67"/>
      <c r="L156" s="67"/>
      <c r="M156" s="58"/>
      <c r="N156" s="58"/>
      <c r="O156" s="58"/>
      <c r="P156" s="58"/>
      <c r="Q156" s="58"/>
      <c r="R156" s="58"/>
      <c r="S156" s="137"/>
      <c r="T156" s="137"/>
      <c r="U156" s="67"/>
      <c r="V156" s="68"/>
    </row>
    <row r="157" spans="1:23" ht="17.25" customHeight="1">
      <c r="A157" s="99"/>
      <c r="B157" s="65"/>
      <c r="C157" s="58"/>
      <c r="D157" s="58"/>
      <c r="E157" s="58"/>
      <c r="F157" s="58"/>
      <c r="G157" s="58"/>
      <c r="H157" s="58"/>
      <c r="I157" s="58"/>
      <c r="J157" s="58"/>
      <c r="K157" s="67"/>
      <c r="L157" s="67"/>
      <c r="M157" s="58"/>
      <c r="N157" s="58"/>
      <c r="O157" s="58"/>
      <c r="P157" s="58"/>
      <c r="Q157" s="58"/>
      <c r="R157" s="58"/>
      <c r="S157" s="137"/>
      <c r="T157" s="137"/>
      <c r="U157" s="67"/>
      <c r="V157" s="68"/>
    </row>
    <row r="158" spans="1:23" s="5" customFormat="1" ht="17.25" customHeight="1">
      <c r="A158" s="99"/>
      <c r="B158" s="65"/>
      <c r="C158" s="58"/>
      <c r="D158" s="58"/>
      <c r="E158" s="58"/>
      <c r="F158" s="58"/>
      <c r="G158" s="58"/>
      <c r="H158" s="58"/>
      <c r="I158" s="58"/>
      <c r="J158" s="58"/>
      <c r="K158" s="67"/>
      <c r="L158" s="67"/>
      <c r="M158" s="58"/>
      <c r="N158" s="58"/>
      <c r="O158" s="58"/>
      <c r="P158" s="58"/>
      <c r="Q158" s="58"/>
      <c r="R158" s="58"/>
      <c r="S158" s="137"/>
      <c r="T158" s="137"/>
      <c r="U158" s="67"/>
      <c r="V158" s="68"/>
    </row>
    <row r="159" spans="1:23" ht="17.25" customHeight="1">
      <c r="A159" s="99"/>
      <c r="B159" s="65"/>
      <c r="C159" s="58"/>
      <c r="D159" s="58"/>
      <c r="E159" s="58"/>
      <c r="F159" s="58"/>
      <c r="G159" s="58"/>
      <c r="H159" s="58"/>
      <c r="I159" s="58"/>
      <c r="J159" s="58"/>
      <c r="K159" s="67"/>
      <c r="L159" s="67"/>
      <c r="M159" s="58"/>
      <c r="N159" s="58"/>
      <c r="O159" s="58"/>
      <c r="P159" s="58"/>
      <c r="Q159" s="58"/>
      <c r="R159" s="58"/>
      <c r="S159" s="137"/>
      <c r="T159" s="137"/>
      <c r="U159" s="67"/>
      <c r="V159" s="68"/>
    </row>
    <row r="160" spans="1:23" ht="17.25" customHeight="1">
      <c r="A160" s="99"/>
      <c r="B160" s="65"/>
      <c r="C160" s="58"/>
      <c r="D160" s="58"/>
      <c r="E160" s="58"/>
      <c r="F160" s="58"/>
      <c r="G160" s="58"/>
      <c r="H160" s="58"/>
      <c r="I160" s="58"/>
      <c r="J160" s="58"/>
      <c r="K160" s="67"/>
      <c r="L160" s="67"/>
      <c r="M160" s="58"/>
      <c r="N160" s="58"/>
      <c r="O160" s="58"/>
      <c r="P160" s="58"/>
      <c r="Q160" s="58"/>
      <c r="R160" s="58"/>
      <c r="S160" s="137"/>
      <c r="T160" s="137"/>
      <c r="U160" s="67"/>
      <c r="V160" s="68"/>
    </row>
    <row r="161" spans="1:22" ht="17.25" customHeight="1">
      <c r="A161" s="99"/>
      <c r="B161" s="65"/>
      <c r="C161" s="58"/>
      <c r="D161" s="58"/>
      <c r="E161" s="58"/>
      <c r="F161" s="58"/>
      <c r="G161" s="58"/>
      <c r="H161" s="58"/>
      <c r="I161" s="58"/>
      <c r="J161" s="58"/>
      <c r="K161" s="67"/>
      <c r="L161" s="67"/>
      <c r="M161" s="58"/>
      <c r="N161" s="58"/>
      <c r="O161" s="58"/>
      <c r="P161" s="58"/>
      <c r="Q161" s="58"/>
      <c r="R161" s="58"/>
      <c r="S161" s="137"/>
      <c r="T161" s="137"/>
      <c r="U161" s="67"/>
      <c r="V161" s="68"/>
    </row>
    <row r="162" spans="1:22" s="1" customFormat="1" ht="17.25" customHeight="1">
      <c r="A162" s="73" t="s">
        <v>11</v>
      </c>
      <c r="B162" s="74"/>
      <c r="C162" s="74"/>
      <c r="D162" s="74"/>
      <c r="E162" s="74"/>
      <c r="F162" s="74"/>
      <c r="G162" s="74"/>
      <c r="H162" s="74"/>
      <c r="I162" s="74"/>
      <c r="J162" s="74"/>
      <c r="K162" s="74"/>
      <c r="L162" s="74"/>
      <c r="M162" s="74"/>
      <c r="N162" s="74"/>
      <c r="O162" s="74"/>
      <c r="P162" s="74"/>
      <c r="Q162" s="74"/>
      <c r="R162" s="74"/>
      <c r="S162" s="168">
        <f>SUM(S156:T161)</f>
        <v>0</v>
      </c>
      <c r="T162" s="168"/>
      <c r="U162" s="138"/>
      <c r="V162" s="140"/>
    </row>
    <row r="164" spans="1:22" ht="17.25" customHeight="1">
      <c r="A164" s="125" t="s">
        <v>150</v>
      </c>
      <c r="B164" s="125"/>
      <c r="C164" s="125"/>
      <c r="D164" s="126" t="s">
        <v>74</v>
      </c>
      <c r="E164" s="126"/>
      <c r="F164" s="126"/>
      <c r="G164" s="126"/>
      <c r="H164" s="126"/>
      <c r="I164" s="126"/>
      <c r="J164" s="126"/>
      <c r="K164" s="126"/>
      <c r="L164" s="126"/>
      <c r="M164" s="126"/>
      <c r="N164" s="126"/>
      <c r="O164" s="126"/>
      <c r="P164" s="126"/>
      <c r="Q164" s="126"/>
      <c r="R164" s="126"/>
      <c r="S164" s="126"/>
      <c r="T164" s="126"/>
      <c r="U164" s="126"/>
      <c r="V164" s="126"/>
    </row>
    <row r="165" spans="1:22" ht="17.25" customHeight="1">
      <c r="A165" s="193" t="s">
        <v>1</v>
      </c>
      <c r="B165" s="145"/>
      <c r="C165" s="145" t="s">
        <v>25</v>
      </c>
      <c r="D165" s="145"/>
      <c r="E165" s="145"/>
      <c r="F165" s="145"/>
      <c r="G165" s="145"/>
      <c r="H165" s="145"/>
      <c r="I165" s="145"/>
      <c r="J165" s="145"/>
      <c r="K165" s="145"/>
      <c r="L165" s="145"/>
      <c r="M165" s="145"/>
      <c r="N165" s="145"/>
      <c r="O165" s="145"/>
      <c r="P165" s="145"/>
      <c r="Q165" s="145"/>
      <c r="R165" s="145"/>
      <c r="S165" s="145" t="s">
        <v>49</v>
      </c>
      <c r="T165" s="145"/>
      <c r="U165" s="145" t="s">
        <v>7</v>
      </c>
      <c r="V165" s="146"/>
    </row>
    <row r="166" spans="1:22" ht="17.25" customHeight="1">
      <c r="A166" s="99"/>
      <c r="B166" s="65"/>
      <c r="C166" s="58"/>
      <c r="D166" s="58"/>
      <c r="E166" s="58"/>
      <c r="F166" s="58"/>
      <c r="G166" s="58"/>
      <c r="H166" s="58"/>
      <c r="I166" s="58"/>
      <c r="J166" s="58"/>
      <c r="K166" s="58"/>
      <c r="L166" s="58"/>
      <c r="M166" s="58"/>
      <c r="N166" s="58"/>
      <c r="O166" s="58"/>
      <c r="P166" s="58"/>
      <c r="Q166" s="58"/>
      <c r="R166" s="58"/>
      <c r="S166" s="147"/>
      <c r="T166" s="147"/>
      <c r="U166" s="67"/>
      <c r="V166" s="68"/>
    </row>
    <row r="167" spans="1:22" ht="17.25" customHeight="1">
      <c r="A167" s="99"/>
      <c r="B167" s="65"/>
      <c r="C167" s="58"/>
      <c r="D167" s="58"/>
      <c r="E167" s="58"/>
      <c r="F167" s="58"/>
      <c r="G167" s="58"/>
      <c r="H167" s="58"/>
      <c r="I167" s="58"/>
      <c r="J167" s="58"/>
      <c r="K167" s="58"/>
      <c r="L167" s="58"/>
      <c r="M167" s="58"/>
      <c r="N167" s="58"/>
      <c r="O167" s="58"/>
      <c r="P167" s="58"/>
      <c r="Q167" s="58"/>
      <c r="R167" s="58"/>
      <c r="S167" s="147"/>
      <c r="T167" s="147"/>
      <c r="U167" s="67"/>
      <c r="V167" s="68"/>
    </row>
    <row r="168" spans="1:22" ht="17.25" customHeight="1">
      <c r="A168" s="99"/>
      <c r="B168" s="65"/>
      <c r="C168" s="58"/>
      <c r="D168" s="58"/>
      <c r="E168" s="58"/>
      <c r="F168" s="58"/>
      <c r="G168" s="58"/>
      <c r="H168" s="58"/>
      <c r="I168" s="58"/>
      <c r="J168" s="58"/>
      <c r="K168" s="58"/>
      <c r="L168" s="58"/>
      <c r="M168" s="58"/>
      <c r="N168" s="58"/>
      <c r="O168" s="58"/>
      <c r="P168" s="58"/>
      <c r="Q168" s="58"/>
      <c r="R168" s="58"/>
      <c r="S168" s="147"/>
      <c r="T168" s="147"/>
      <c r="U168" s="67"/>
      <c r="V168" s="68"/>
    </row>
    <row r="169" spans="1:22" ht="17.25" customHeight="1">
      <c r="A169" s="99"/>
      <c r="B169" s="65"/>
      <c r="C169" s="58"/>
      <c r="D169" s="58"/>
      <c r="E169" s="58"/>
      <c r="F169" s="58"/>
      <c r="G169" s="58"/>
      <c r="H169" s="58"/>
      <c r="I169" s="58"/>
      <c r="J169" s="58"/>
      <c r="K169" s="58"/>
      <c r="L169" s="58"/>
      <c r="M169" s="58"/>
      <c r="N169" s="58"/>
      <c r="O169" s="58"/>
      <c r="P169" s="58"/>
      <c r="Q169" s="58"/>
      <c r="R169" s="58"/>
      <c r="S169" s="147"/>
      <c r="T169" s="147"/>
      <c r="U169" s="67"/>
      <c r="V169" s="68"/>
    </row>
    <row r="170" spans="1:22" ht="17.25" customHeight="1">
      <c r="A170" s="187" t="s">
        <v>11</v>
      </c>
      <c r="B170" s="188"/>
      <c r="C170" s="188"/>
      <c r="D170" s="188"/>
      <c r="E170" s="188"/>
      <c r="F170" s="188"/>
      <c r="G170" s="188"/>
      <c r="H170" s="188"/>
      <c r="I170" s="188"/>
      <c r="J170" s="188"/>
      <c r="K170" s="188"/>
      <c r="L170" s="188"/>
      <c r="M170" s="188"/>
      <c r="N170" s="188"/>
      <c r="O170" s="188"/>
      <c r="P170" s="188"/>
      <c r="Q170" s="188"/>
      <c r="R170" s="188"/>
      <c r="S170" s="189">
        <f>SUM(S166:T169)</f>
        <v>0</v>
      </c>
      <c r="T170" s="189"/>
      <c r="U170" s="165"/>
      <c r="V170" s="166"/>
    </row>
    <row r="171" spans="1:22" s="1" customFormat="1" ht="17.25" customHeight="1">
      <c r="A171" s="4"/>
      <c r="B171" s="4"/>
      <c r="C171" s="4"/>
      <c r="D171" s="4"/>
      <c r="E171" s="4"/>
      <c r="F171" s="4"/>
      <c r="G171" s="4"/>
      <c r="H171" s="4"/>
      <c r="I171" s="4"/>
      <c r="J171" s="4"/>
      <c r="K171" s="4"/>
      <c r="L171" s="4"/>
      <c r="M171" s="4"/>
      <c r="N171" s="4"/>
      <c r="O171" s="4"/>
      <c r="P171" s="4"/>
      <c r="Q171" s="4"/>
      <c r="R171" s="4"/>
      <c r="S171" s="3"/>
      <c r="T171" s="3"/>
      <c r="U171" s="2"/>
      <c r="V171" s="2"/>
    </row>
    <row r="172" spans="1:22" ht="17.25" customHeight="1">
      <c r="A172" s="125" t="s">
        <v>151</v>
      </c>
      <c r="B172" s="125"/>
      <c r="C172" s="125"/>
      <c r="D172" s="126" t="s">
        <v>77</v>
      </c>
      <c r="E172" s="126"/>
      <c r="F172" s="126"/>
      <c r="G172" s="126"/>
      <c r="H172" s="126"/>
      <c r="I172" s="126"/>
      <c r="J172" s="126"/>
      <c r="K172" s="126"/>
      <c r="L172" s="126"/>
      <c r="M172" s="126"/>
      <c r="N172" s="126"/>
      <c r="O172" s="126"/>
      <c r="P172" s="126"/>
      <c r="Q172" s="126"/>
      <c r="R172" s="126"/>
      <c r="S172" s="126"/>
      <c r="T172" s="126"/>
      <c r="U172" s="126"/>
      <c r="V172" s="126"/>
    </row>
    <row r="173" spans="1:22" ht="17.25" customHeight="1">
      <c r="A173" s="193" t="s">
        <v>1</v>
      </c>
      <c r="B173" s="145"/>
      <c r="C173" s="145" t="s">
        <v>25</v>
      </c>
      <c r="D173" s="145"/>
      <c r="E173" s="145"/>
      <c r="F173" s="145"/>
      <c r="G173" s="145"/>
      <c r="H173" s="145"/>
      <c r="I173" s="145"/>
      <c r="J173" s="145"/>
      <c r="K173" s="145"/>
      <c r="L173" s="145"/>
      <c r="M173" s="145"/>
      <c r="N173" s="145"/>
      <c r="O173" s="145"/>
      <c r="P173" s="145"/>
      <c r="Q173" s="145"/>
      <c r="R173" s="145"/>
      <c r="S173" s="145" t="s">
        <v>49</v>
      </c>
      <c r="T173" s="145"/>
      <c r="U173" s="145" t="s">
        <v>7</v>
      </c>
      <c r="V173" s="146"/>
    </row>
    <row r="174" spans="1:22" ht="17.25" customHeight="1">
      <c r="A174" s="99"/>
      <c r="B174" s="65"/>
      <c r="C174" s="58"/>
      <c r="D174" s="58"/>
      <c r="E174" s="58"/>
      <c r="F174" s="58"/>
      <c r="G174" s="58"/>
      <c r="H174" s="58"/>
      <c r="I174" s="58"/>
      <c r="J174" s="58"/>
      <c r="K174" s="58"/>
      <c r="L174" s="58"/>
      <c r="M174" s="58"/>
      <c r="N174" s="58"/>
      <c r="O174" s="58"/>
      <c r="P174" s="58"/>
      <c r="Q174" s="58"/>
      <c r="R174" s="58"/>
      <c r="S174" s="147"/>
      <c r="T174" s="147"/>
      <c r="U174" s="67"/>
      <c r="V174" s="68"/>
    </row>
    <row r="175" spans="1:22" ht="17.25" customHeight="1">
      <c r="A175" s="99"/>
      <c r="B175" s="65"/>
      <c r="C175" s="58"/>
      <c r="D175" s="58"/>
      <c r="E175" s="58"/>
      <c r="F175" s="58"/>
      <c r="G175" s="58"/>
      <c r="H175" s="58"/>
      <c r="I175" s="58"/>
      <c r="J175" s="58"/>
      <c r="K175" s="58"/>
      <c r="L175" s="58"/>
      <c r="M175" s="58"/>
      <c r="N175" s="58"/>
      <c r="O175" s="58"/>
      <c r="P175" s="58"/>
      <c r="Q175" s="58"/>
      <c r="R175" s="58"/>
      <c r="S175" s="147"/>
      <c r="T175" s="147"/>
      <c r="U175" s="67"/>
      <c r="V175" s="68"/>
    </row>
    <row r="176" spans="1:22" ht="17.25" customHeight="1">
      <c r="A176" s="99"/>
      <c r="B176" s="65"/>
      <c r="C176" s="58"/>
      <c r="D176" s="58"/>
      <c r="E176" s="58"/>
      <c r="F176" s="58"/>
      <c r="G176" s="58"/>
      <c r="H176" s="58"/>
      <c r="I176" s="58"/>
      <c r="J176" s="58"/>
      <c r="K176" s="58"/>
      <c r="L176" s="58"/>
      <c r="M176" s="58"/>
      <c r="N176" s="58"/>
      <c r="O176" s="58"/>
      <c r="P176" s="58"/>
      <c r="Q176" s="58"/>
      <c r="R176" s="58"/>
      <c r="S176" s="147"/>
      <c r="T176" s="147"/>
      <c r="U176" s="67"/>
      <c r="V176" s="68"/>
    </row>
    <row r="177" spans="1:23" ht="17.25" customHeight="1">
      <c r="A177" s="99"/>
      <c r="B177" s="65"/>
      <c r="C177" s="58"/>
      <c r="D177" s="58"/>
      <c r="E177" s="58"/>
      <c r="F177" s="58"/>
      <c r="G177" s="58"/>
      <c r="H177" s="58"/>
      <c r="I177" s="58"/>
      <c r="J177" s="58"/>
      <c r="K177" s="58"/>
      <c r="L177" s="58"/>
      <c r="M177" s="58"/>
      <c r="N177" s="58"/>
      <c r="O177" s="58"/>
      <c r="P177" s="58"/>
      <c r="Q177" s="58"/>
      <c r="R177" s="58"/>
      <c r="S177" s="147"/>
      <c r="T177" s="147"/>
      <c r="U177" s="67"/>
      <c r="V177" s="68"/>
    </row>
    <row r="178" spans="1:23" s="1" customFormat="1" ht="17.25" customHeight="1">
      <c r="A178" s="187" t="s">
        <v>11</v>
      </c>
      <c r="B178" s="188"/>
      <c r="C178" s="188"/>
      <c r="D178" s="188"/>
      <c r="E178" s="188"/>
      <c r="F178" s="188"/>
      <c r="G178" s="188"/>
      <c r="H178" s="188"/>
      <c r="I178" s="188"/>
      <c r="J178" s="188"/>
      <c r="K178" s="188"/>
      <c r="L178" s="188"/>
      <c r="M178" s="188"/>
      <c r="N178" s="188"/>
      <c r="O178" s="188"/>
      <c r="P178" s="188"/>
      <c r="Q178" s="188"/>
      <c r="R178" s="188"/>
      <c r="S178" s="189">
        <f>SUM(S174:T177)</f>
        <v>0</v>
      </c>
      <c r="T178" s="189"/>
      <c r="U178" s="165"/>
      <c r="V178" s="166"/>
    </row>
    <row r="180" spans="1:23" s="8" customFormat="1" ht="17.25" customHeight="1">
      <c r="A180" s="75" t="s">
        <v>152</v>
      </c>
      <c r="B180" s="75"/>
      <c r="C180" s="75"/>
      <c r="D180" s="75"/>
      <c r="E180" s="75"/>
      <c r="F180" s="218" t="s">
        <v>195</v>
      </c>
      <c r="G180" s="218"/>
      <c r="H180" s="218"/>
      <c r="I180" s="218"/>
      <c r="J180" s="218"/>
      <c r="K180" s="218"/>
      <c r="L180" s="218"/>
      <c r="M180" s="231" t="str">
        <f>IF(AND(T122&amp;T129&amp;T136&amp;T143&amp;T181&amp;T187&amp;T193&amp;T199="",T127+T134+T141+T148+T185+T191+T197+T203&gt;=3000),"【！】交際費・会議費稟議承認（稟議番号）が必要です【！】","")</f>
        <v/>
      </c>
      <c r="N180" s="231"/>
      <c r="O180" s="231"/>
      <c r="P180" s="231"/>
      <c r="Q180" s="231"/>
      <c r="R180" s="231"/>
      <c r="S180" s="231"/>
      <c r="T180" s="231"/>
      <c r="U180" s="231"/>
      <c r="V180" s="231"/>
    </row>
    <row r="181" spans="1:23" s="8" customFormat="1" ht="17.25" customHeight="1">
      <c r="A181" s="100" t="s">
        <v>128</v>
      </c>
      <c r="B181" s="70"/>
      <c r="C181" s="70"/>
      <c r="D181" s="130"/>
      <c r="E181" s="130"/>
      <c r="F181" s="130"/>
      <c r="G181" s="130"/>
      <c r="H181" s="130"/>
      <c r="I181" s="130"/>
      <c r="J181" s="130"/>
      <c r="K181" s="130"/>
      <c r="L181" s="70" t="s">
        <v>1</v>
      </c>
      <c r="M181" s="70"/>
      <c r="N181" s="70"/>
      <c r="O181" s="207"/>
      <c r="P181" s="130"/>
      <c r="Q181" s="70" t="s">
        <v>57</v>
      </c>
      <c r="R181" s="70"/>
      <c r="S181" s="70"/>
      <c r="T181" s="130"/>
      <c r="U181" s="130"/>
      <c r="V181" s="194"/>
    </row>
    <row r="182" spans="1:23" s="8" customFormat="1" ht="17.25" customHeight="1">
      <c r="A182" s="76" t="s">
        <v>51</v>
      </c>
      <c r="B182" s="57"/>
      <c r="C182" s="57"/>
      <c r="D182" s="58"/>
      <c r="E182" s="58"/>
      <c r="F182" s="58"/>
      <c r="G182" s="58"/>
      <c r="H182" s="58"/>
      <c r="I182" s="58"/>
      <c r="J182" s="58"/>
      <c r="K182" s="58"/>
      <c r="L182" s="57" t="s">
        <v>52</v>
      </c>
      <c r="M182" s="57"/>
      <c r="N182" s="57"/>
      <c r="O182" s="58"/>
      <c r="P182" s="58"/>
      <c r="Q182" s="58"/>
      <c r="R182" s="58"/>
      <c r="S182" s="58"/>
      <c r="T182" s="58"/>
      <c r="U182" s="58"/>
      <c r="V182" s="148"/>
    </row>
    <row r="183" spans="1:23" s="8" customFormat="1" ht="17.25" customHeight="1">
      <c r="A183" s="76" t="s">
        <v>53</v>
      </c>
      <c r="B183" s="57"/>
      <c r="C183" s="57"/>
      <c r="D183" s="58"/>
      <c r="E183" s="58"/>
      <c r="F183" s="58"/>
      <c r="G183" s="58"/>
      <c r="H183" s="58"/>
      <c r="I183" s="58"/>
      <c r="J183" s="58"/>
      <c r="K183" s="58"/>
      <c r="L183" s="57" t="s">
        <v>7</v>
      </c>
      <c r="M183" s="57"/>
      <c r="N183" s="57"/>
      <c r="O183" s="58"/>
      <c r="P183" s="58"/>
      <c r="Q183" s="57" t="s">
        <v>55</v>
      </c>
      <c r="R183" s="57"/>
      <c r="S183" s="57"/>
      <c r="T183" s="215"/>
      <c r="U183" s="215"/>
      <c r="V183" s="216"/>
    </row>
    <row r="184" spans="1:23" s="8" customFormat="1" ht="17.25" customHeight="1">
      <c r="A184" s="76" t="s">
        <v>130</v>
      </c>
      <c r="B184" s="57"/>
      <c r="C184" s="57"/>
      <c r="D184" s="58"/>
      <c r="E184" s="58"/>
      <c r="F184" s="58"/>
      <c r="G184" s="58"/>
      <c r="H184" s="58"/>
      <c r="I184" s="58"/>
      <c r="J184" s="58"/>
      <c r="K184" s="58"/>
      <c r="L184" s="57" t="s">
        <v>59</v>
      </c>
      <c r="M184" s="57"/>
      <c r="N184" s="57"/>
      <c r="O184" s="58"/>
      <c r="P184" s="58"/>
      <c r="Q184" s="57" t="s">
        <v>56</v>
      </c>
      <c r="R184" s="57"/>
      <c r="S184" s="57"/>
      <c r="T184" s="151">
        <f>IFERROR(IF(RIGHTB(D186,2)="V1",ROUND(T183/O186,0),IF(RIGHTB(D186,2)="VH",ROUND(T183/1.08/O186,0),IF(RIGHTB(D186,2)="VJ",ROUND(T183/1.1/O186,0),IF(D186="",0)))),0)</f>
        <v>0</v>
      </c>
      <c r="U184" s="151"/>
      <c r="V184" s="152"/>
      <c r="W184" s="24" t="str">
        <f>IF(T184=0,"",IF(AND(D181="国内での会議費用（一人5000円以下の飲食代）【10％】",T184&gt;5000),"【！】会議費ではありません【！】",IF(AND(D181="国内での会議費用（一人5000円以下の飲食代）【8％】",T184&gt;5000),"【！】会議費ではありません【！】",IF(AND(D181="国内での飲食接待費（一人5000円超の飲食代）【10％】",T184&lt;=5000),"【！】交際費ではありません【！】",IF(AND(D181="国内での飲食接待費（一人5000円超の飲食代）【8％】",T184&lt;=5000),"【！】交際費ではありません【！】","")))))</f>
        <v/>
      </c>
    </row>
    <row r="185" spans="1:23" s="8" customFormat="1" ht="17.25" customHeight="1">
      <c r="A185" s="76" t="s">
        <v>54</v>
      </c>
      <c r="B185" s="57"/>
      <c r="C185" s="57"/>
      <c r="D185" s="58"/>
      <c r="E185" s="58"/>
      <c r="F185" s="58"/>
      <c r="G185" s="58"/>
      <c r="H185" s="58"/>
      <c r="I185" s="58"/>
      <c r="J185" s="58"/>
      <c r="K185" s="58"/>
      <c r="L185" s="57" t="s">
        <v>60</v>
      </c>
      <c r="M185" s="57"/>
      <c r="N185" s="57"/>
      <c r="O185" s="58"/>
      <c r="P185" s="58"/>
      <c r="Q185" s="57" t="s">
        <v>58</v>
      </c>
      <c r="R185" s="57"/>
      <c r="S185" s="57"/>
      <c r="T185" s="151">
        <f>T183</f>
        <v>0</v>
      </c>
      <c r="U185" s="151"/>
      <c r="V185" s="152"/>
    </row>
    <row r="186" spans="1:23" s="8" customFormat="1" ht="17.25" customHeight="1">
      <c r="A186" s="153" t="s">
        <v>169</v>
      </c>
      <c r="B186" s="154"/>
      <c r="C186" s="154"/>
      <c r="D186" s="155" t="str">
        <f>IFERROR(VLOOKUP(D181,Sheet2!$A$9:$C$17,2,FALSE),"")</f>
        <v/>
      </c>
      <c r="E186" s="155"/>
      <c r="F186" s="155"/>
      <c r="G186" s="155"/>
      <c r="H186" s="155"/>
      <c r="I186" s="155"/>
      <c r="J186" s="155"/>
      <c r="K186" s="155"/>
      <c r="L186" s="149" t="s">
        <v>61</v>
      </c>
      <c r="M186" s="149"/>
      <c r="N186" s="149"/>
      <c r="O186" s="150">
        <f>SUM(O184:P185)</f>
        <v>0</v>
      </c>
      <c r="P186" s="150"/>
      <c r="Q186" s="154" t="s">
        <v>131</v>
      </c>
      <c r="R186" s="154"/>
      <c r="S186" s="154"/>
      <c r="T186" s="155" t="str">
        <f>IF(D186="","",VLOOKUP(D186,Sheet2!$B$9:$C$17,2,FALSE))</f>
        <v/>
      </c>
      <c r="U186" s="155"/>
      <c r="V186" s="206"/>
    </row>
    <row r="187" spans="1:23" s="8" customFormat="1" ht="17.25" customHeight="1">
      <c r="A187" s="100" t="s">
        <v>128</v>
      </c>
      <c r="B187" s="70"/>
      <c r="C187" s="70"/>
      <c r="D187" s="130"/>
      <c r="E187" s="130"/>
      <c r="F187" s="130"/>
      <c r="G187" s="130"/>
      <c r="H187" s="130"/>
      <c r="I187" s="130"/>
      <c r="J187" s="130"/>
      <c r="K187" s="130"/>
      <c r="L187" s="70" t="s">
        <v>1</v>
      </c>
      <c r="M187" s="70"/>
      <c r="N187" s="70"/>
      <c r="O187" s="207"/>
      <c r="P187" s="130"/>
      <c r="Q187" s="70" t="s">
        <v>57</v>
      </c>
      <c r="R187" s="70"/>
      <c r="S187" s="70"/>
      <c r="T187" s="130"/>
      <c r="U187" s="130"/>
      <c r="V187" s="194"/>
    </row>
    <row r="188" spans="1:23" s="8" customFormat="1" ht="17.25" customHeight="1">
      <c r="A188" s="76" t="s">
        <v>51</v>
      </c>
      <c r="B188" s="57"/>
      <c r="C188" s="57"/>
      <c r="D188" s="58"/>
      <c r="E188" s="58"/>
      <c r="F188" s="58"/>
      <c r="G188" s="58"/>
      <c r="H188" s="58"/>
      <c r="I188" s="58"/>
      <c r="J188" s="58"/>
      <c r="K188" s="58"/>
      <c r="L188" s="57" t="s">
        <v>52</v>
      </c>
      <c r="M188" s="57"/>
      <c r="N188" s="57"/>
      <c r="O188" s="58"/>
      <c r="P188" s="58"/>
      <c r="Q188" s="58"/>
      <c r="R188" s="58"/>
      <c r="S188" s="58"/>
      <c r="T188" s="58"/>
      <c r="U188" s="58"/>
      <c r="V188" s="148"/>
    </row>
    <row r="189" spans="1:23" s="8" customFormat="1" ht="17.25" customHeight="1">
      <c r="A189" s="76" t="s">
        <v>53</v>
      </c>
      <c r="B189" s="57"/>
      <c r="C189" s="57"/>
      <c r="D189" s="58"/>
      <c r="E189" s="58"/>
      <c r="F189" s="58"/>
      <c r="G189" s="58"/>
      <c r="H189" s="58"/>
      <c r="I189" s="58"/>
      <c r="J189" s="58"/>
      <c r="K189" s="58"/>
      <c r="L189" s="57" t="s">
        <v>7</v>
      </c>
      <c r="M189" s="57"/>
      <c r="N189" s="57"/>
      <c r="O189" s="58"/>
      <c r="P189" s="58"/>
      <c r="Q189" s="57" t="s">
        <v>55</v>
      </c>
      <c r="R189" s="57"/>
      <c r="S189" s="57"/>
      <c r="T189" s="215"/>
      <c r="U189" s="215"/>
      <c r="V189" s="216"/>
    </row>
    <row r="190" spans="1:23" s="8" customFormat="1" ht="17.25" customHeight="1">
      <c r="A190" s="76" t="s">
        <v>130</v>
      </c>
      <c r="B190" s="57"/>
      <c r="C190" s="57"/>
      <c r="D190" s="58"/>
      <c r="E190" s="58"/>
      <c r="F190" s="58"/>
      <c r="G190" s="58"/>
      <c r="H190" s="58"/>
      <c r="I190" s="58"/>
      <c r="J190" s="58"/>
      <c r="K190" s="58"/>
      <c r="L190" s="57" t="s">
        <v>59</v>
      </c>
      <c r="M190" s="57"/>
      <c r="N190" s="57"/>
      <c r="O190" s="58"/>
      <c r="P190" s="58"/>
      <c r="Q190" s="57" t="s">
        <v>56</v>
      </c>
      <c r="R190" s="57"/>
      <c r="S190" s="57"/>
      <c r="T190" s="151">
        <f>IFERROR(IF(RIGHTB(D192,2)="V1",ROUND(T189/O192,0),IF(RIGHTB(D192,2)="VH",ROUND(T189/1.08/O192,0),IF(RIGHTB(D192,2)="VJ",ROUND(T189/1.1/O192,0),IF(D192="",0)))),0)</f>
        <v>0</v>
      </c>
      <c r="U190" s="151"/>
      <c r="V190" s="152"/>
      <c r="W190" s="24" t="str">
        <f>IF(T190=0,"",IF(AND(D187="国内での会議費用（一人5000円以下の飲食代）【10％】",T190&gt;5000),"【！】会議費ではありません【！】",IF(AND(D187="国内での会議費用（一人5000円以下の飲食代）【8％】",T190&gt;5000),"【！】会議費ではありません【！】",IF(AND(D187="国内での飲食接待費（一人5000円超の飲食代）【10％】",T190&lt;=5000),"【！】交際費ではありません【！】",IF(AND(D187="国内での飲食接待費（一人5000円超の飲食代）【8％】",T190&lt;=5000),"【！】交際費ではありません【！】","")))))</f>
        <v/>
      </c>
    </row>
    <row r="191" spans="1:23" s="8" customFormat="1" ht="17.25" customHeight="1">
      <c r="A191" s="76" t="s">
        <v>54</v>
      </c>
      <c r="B191" s="57"/>
      <c r="C191" s="57"/>
      <c r="D191" s="58"/>
      <c r="E191" s="58"/>
      <c r="F191" s="58"/>
      <c r="G191" s="58"/>
      <c r="H191" s="58"/>
      <c r="I191" s="58"/>
      <c r="J191" s="58"/>
      <c r="K191" s="58"/>
      <c r="L191" s="57" t="s">
        <v>60</v>
      </c>
      <c r="M191" s="57"/>
      <c r="N191" s="57"/>
      <c r="O191" s="58"/>
      <c r="P191" s="58"/>
      <c r="Q191" s="57" t="s">
        <v>58</v>
      </c>
      <c r="R191" s="57"/>
      <c r="S191" s="57"/>
      <c r="T191" s="151">
        <f>T189</f>
        <v>0</v>
      </c>
      <c r="U191" s="151"/>
      <c r="V191" s="152"/>
    </row>
    <row r="192" spans="1:23" s="8" customFormat="1" ht="17.25" customHeight="1">
      <c r="A192" s="153" t="s">
        <v>169</v>
      </c>
      <c r="B192" s="154"/>
      <c r="C192" s="154"/>
      <c r="D192" s="155" t="str">
        <f>IFERROR(VLOOKUP(D187,Sheet2!$A$9:$C$17,2,FALSE),"")</f>
        <v/>
      </c>
      <c r="E192" s="155"/>
      <c r="F192" s="155"/>
      <c r="G192" s="155"/>
      <c r="H192" s="155"/>
      <c r="I192" s="155"/>
      <c r="J192" s="155"/>
      <c r="K192" s="155"/>
      <c r="L192" s="149" t="s">
        <v>61</v>
      </c>
      <c r="M192" s="149"/>
      <c r="N192" s="149"/>
      <c r="O192" s="150">
        <f>SUM(O190:P191)</f>
        <v>0</v>
      </c>
      <c r="P192" s="150"/>
      <c r="Q192" s="154" t="s">
        <v>131</v>
      </c>
      <c r="R192" s="154"/>
      <c r="S192" s="154"/>
      <c r="T192" s="155" t="str">
        <f>IF(D192="","",VLOOKUP(D192,Sheet2!$B$9:$C$17,2,FALSE))</f>
        <v/>
      </c>
      <c r="U192" s="155"/>
      <c r="V192" s="206"/>
    </row>
    <row r="193" spans="1:23" s="8" customFormat="1" ht="17.25" customHeight="1">
      <c r="A193" s="100" t="s">
        <v>128</v>
      </c>
      <c r="B193" s="70"/>
      <c r="C193" s="70"/>
      <c r="D193" s="130"/>
      <c r="E193" s="130"/>
      <c r="F193" s="130"/>
      <c r="G193" s="130"/>
      <c r="H193" s="130"/>
      <c r="I193" s="130"/>
      <c r="J193" s="130"/>
      <c r="K193" s="130"/>
      <c r="L193" s="70" t="s">
        <v>1</v>
      </c>
      <c r="M193" s="70"/>
      <c r="N193" s="70"/>
      <c r="O193" s="207"/>
      <c r="P193" s="130"/>
      <c r="Q193" s="70" t="s">
        <v>57</v>
      </c>
      <c r="R193" s="70"/>
      <c r="S193" s="70"/>
      <c r="T193" s="130"/>
      <c r="U193" s="130"/>
      <c r="V193" s="194"/>
    </row>
    <row r="194" spans="1:23" s="8" customFormat="1" ht="17.25" customHeight="1">
      <c r="A194" s="76" t="s">
        <v>51</v>
      </c>
      <c r="B194" s="57"/>
      <c r="C194" s="57"/>
      <c r="D194" s="58"/>
      <c r="E194" s="58"/>
      <c r="F194" s="58"/>
      <c r="G194" s="58"/>
      <c r="H194" s="58"/>
      <c r="I194" s="58"/>
      <c r="J194" s="58"/>
      <c r="K194" s="58"/>
      <c r="L194" s="57" t="s">
        <v>52</v>
      </c>
      <c r="M194" s="57"/>
      <c r="N194" s="57"/>
      <c r="O194" s="58"/>
      <c r="P194" s="58"/>
      <c r="Q194" s="58"/>
      <c r="R194" s="58"/>
      <c r="S194" s="58"/>
      <c r="T194" s="58"/>
      <c r="U194" s="58"/>
      <c r="V194" s="148"/>
    </row>
    <row r="195" spans="1:23" s="8" customFormat="1" ht="17.25" customHeight="1">
      <c r="A195" s="76" t="s">
        <v>53</v>
      </c>
      <c r="B195" s="57"/>
      <c r="C195" s="57"/>
      <c r="D195" s="58"/>
      <c r="E195" s="58"/>
      <c r="F195" s="58"/>
      <c r="G195" s="58"/>
      <c r="H195" s="58"/>
      <c r="I195" s="58"/>
      <c r="J195" s="58"/>
      <c r="K195" s="58"/>
      <c r="L195" s="57" t="s">
        <v>7</v>
      </c>
      <c r="M195" s="57"/>
      <c r="N195" s="57"/>
      <c r="O195" s="58"/>
      <c r="P195" s="58"/>
      <c r="Q195" s="57" t="s">
        <v>55</v>
      </c>
      <c r="R195" s="57"/>
      <c r="S195" s="57"/>
      <c r="T195" s="215"/>
      <c r="U195" s="215"/>
      <c r="V195" s="216"/>
    </row>
    <row r="196" spans="1:23" s="8" customFormat="1" ht="17.25" customHeight="1">
      <c r="A196" s="76" t="s">
        <v>130</v>
      </c>
      <c r="B196" s="57"/>
      <c r="C196" s="57"/>
      <c r="D196" s="58"/>
      <c r="E196" s="58"/>
      <c r="F196" s="58"/>
      <c r="G196" s="58"/>
      <c r="H196" s="58"/>
      <c r="I196" s="58"/>
      <c r="J196" s="58"/>
      <c r="K196" s="58"/>
      <c r="L196" s="57" t="s">
        <v>59</v>
      </c>
      <c r="M196" s="57"/>
      <c r="N196" s="57"/>
      <c r="O196" s="58"/>
      <c r="P196" s="58"/>
      <c r="Q196" s="57" t="s">
        <v>56</v>
      </c>
      <c r="R196" s="57"/>
      <c r="S196" s="57"/>
      <c r="T196" s="151">
        <f>IFERROR(IF(RIGHTB(D198,2)="V1",ROUND(T195/O198,0),IF(RIGHTB(D198,2)="VH",ROUND(T195/1.08/O198,0),IF(RIGHTB(D198,2)="VJ",ROUND(T195/1.1/O198,0),IF(D198="",0)))),0)</f>
        <v>0</v>
      </c>
      <c r="U196" s="151"/>
      <c r="V196" s="152"/>
      <c r="W196" s="24" t="str">
        <f>IF(T196=0,"",IF(AND(D193="国内での会議費用（一人5000円以下の飲食代）【10％】",T196&gt;5000),"【！】会議費ではありません【！】",IF(AND(D193="国内での会議費用（一人5000円以下の飲食代）【8％】",T196&gt;5000),"【！】会議費ではありません【！】",IF(AND(D193="国内での飲食接待費（一人5000円超の飲食代）【10％】",T196&lt;=5000),"【！】交際費ではありません【！】",IF(AND(D193="国内での飲食接待費（一人5000円超の飲食代）【8％】",T196&lt;=5000),"【！】交際費ではありません【！】","")))))</f>
        <v/>
      </c>
    </row>
    <row r="197" spans="1:23" s="8" customFormat="1" ht="17.25" customHeight="1">
      <c r="A197" s="76" t="s">
        <v>54</v>
      </c>
      <c r="B197" s="57"/>
      <c r="C197" s="57"/>
      <c r="D197" s="58"/>
      <c r="E197" s="58"/>
      <c r="F197" s="58"/>
      <c r="G197" s="58"/>
      <c r="H197" s="58"/>
      <c r="I197" s="58"/>
      <c r="J197" s="58"/>
      <c r="K197" s="58"/>
      <c r="L197" s="57" t="s">
        <v>60</v>
      </c>
      <c r="M197" s="57"/>
      <c r="N197" s="57"/>
      <c r="O197" s="58"/>
      <c r="P197" s="58"/>
      <c r="Q197" s="57" t="s">
        <v>58</v>
      </c>
      <c r="R197" s="57"/>
      <c r="S197" s="57"/>
      <c r="T197" s="151">
        <f>T195</f>
        <v>0</v>
      </c>
      <c r="U197" s="151"/>
      <c r="V197" s="152"/>
    </row>
    <row r="198" spans="1:23" s="8" customFormat="1" ht="17.25" customHeight="1">
      <c r="A198" s="153" t="s">
        <v>169</v>
      </c>
      <c r="B198" s="154"/>
      <c r="C198" s="154"/>
      <c r="D198" s="155" t="str">
        <f>IFERROR(VLOOKUP(D193,Sheet2!$A$9:$C$17,2,FALSE),"")</f>
        <v/>
      </c>
      <c r="E198" s="155"/>
      <c r="F198" s="155"/>
      <c r="G198" s="155"/>
      <c r="H198" s="155"/>
      <c r="I198" s="155"/>
      <c r="J198" s="155"/>
      <c r="K198" s="155"/>
      <c r="L198" s="149" t="s">
        <v>61</v>
      </c>
      <c r="M198" s="149"/>
      <c r="N198" s="149"/>
      <c r="O198" s="150">
        <f>SUM(O196:P197)</f>
        <v>0</v>
      </c>
      <c r="P198" s="150"/>
      <c r="Q198" s="154" t="s">
        <v>131</v>
      </c>
      <c r="R198" s="154"/>
      <c r="S198" s="154"/>
      <c r="T198" s="155" t="str">
        <f>IF(D198="","",VLOOKUP(D198,Sheet2!$B$9:$C$17,2,FALSE))</f>
        <v/>
      </c>
      <c r="U198" s="155"/>
      <c r="V198" s="206"/>
    </row>
    <row r="199" spans="1:23" s="8" customFormat="1" ht="17.25" customHeight="1">
      <c r="A199" s="100" t="s">
        <v>128</v>
      </c>
      <c r="B199" s="70"/>
      <c r="C199" s="70"/>
      <c r="D199" s="130"/>
      <c r="E199" s="130"/>
      <c r="F199" s="130"/>
      <c r="G199" s="130"/>
      <c r="H199" s="130"/>
      <c r="I199" s="130"/>
      <c r="J199" s="130"/>
      <c r="K199" s="130"/>
      <c r="L199" s="70" t="s">
        <v>1</v>
      </c>
      <c r="M199" s="70"/>
      <c r="N199" s="70"/>
      <c r="O199" s="207"/>
      <c r="P199" s="130"/>
      <c r="Q199" s="70" t="s">
        <v>57</v>
      </c>
      <c r="R199" s="70"/>
      <c r="S199" s="70"/>
      <c r="T199" s="130"/>
      <c r="U199" s="130"/>
      <c r="V199" s="194"/>
    </row>
    <row r="200" spans="1:23" s="8" customFormat="1" ht="17.25" customHeight="1">
      <c r="A200" s="76" t="s">
        <v>51</v>
      </c>
      <c r="B200" s="57"/>
      <c r="C200" s="57"/>
      <c r="D200" s="58"/>
      <c r="E200" s="58"/>
      <c r="F200" s="58"/>
      <c r="G200" s="58"/>
      <c r="H200" s="58"/>
      <c r="I200" s="58"/>
      <c r="J200" s="58"/>
      <c r="K200" s="58"/>
      <c r="L200" s="57" t="s">
        <v>52</v>
      </c>
      <c r="M200" s="57"/>
      <c r="N200" s="57"/>
      <c r="O200" s="58"/>
      <c r="P200" s="58"/>
      <c r="Q200" s="58"/>
      <c r="R200" s="58"/>
      <c r="S200" s="58"/>
      <c r="T200" s="58"/>
      <c r="U200" s="58"/>
      <c r="V200" s="148"/>
    </row>
    <row r="201" spans="1:23" s="8" customFormat="1" ht="17.25" customHeight="1">
      <c r="A201" s="76" t="s">
        <v>53</v>
      </c>
      <c r="B201" s="57"/>
      <c r="C201" s="57"/>
      <c r="D201" s="58"/>
      <c r="E201" s="58"/>
      <c r="F201" s="58"/>
      <c r="G201" s="58"/>
      <c r="H201" s="58"/>
      <c r="I201" s="58"/>
      <c r="J201" s="58"/>
      <c r="K201" s="58"/>
      <c r="L201" s="57" t="s">
        <v>7</v>
      </c>
      <c r="M201" s="57"/>
      <c r="N201" s="57"/>
      <c r="O201" s="58"/>
      <c r="P201" s="58"/>
      <c r="Q201" s="57" t="s">
        <v>55</v>
      </c>
      <c r="R201" s="57"/>
      <c r="S201" s="57"/>
      <c r="T201" s="215"/>
      <c r="U201" s="215"/>
      <c r="V201" s="216"/>
    </row>
    <row r="202" spans="1:23" s="8" customFormat="1" ht="17.25" customHeight="1">
      <c r="A202" s="76" t="s">
        <v>130</v>
      </c>
      <c r="B202" s="57"/>
      <c r="C202" s="57"/>
      <c r="D202" s="58"/>
      <c r="E202" s="58"/>
      <c r="F202" s="58"/>
      <c r="G202" s="58"/>
      <c r="H202" s="58"/>
      <c r="I202" s="58"/>
      <c r="J202" s="58"/>
      <c r="K202" s="58"/>
      <c r="L202" s="57" t="s">
        <v>59</v>
      </c>
      <c r="M202" s="57"/>
      <c r="N202" s="57"/>
      <c r="O202" s="58"/>
      <c r="P202" s="58"/>
      <c r="Q202" s="57" t="s">
        <v>56</v>
      </c>
      <c r="R202" s="57"/>
      <c r="S202" s="57"/>
      <c r="T202" s="151">
        <f>IFERROR(IF(RIGHTB(D204,2)="V1",ROUND(T201/O204,0),IF(RIGHTB(D204,2)="VH",ROUND(T201/1.08/O204,0),IF(RIGHTB(D204,2)="VJ",ROUND(T201/1.1/O204,0),IF(D204="",0)))),0)</f>
        <v>0</v>
      </c>
      <c r="U202" s="151"/>
      <c r="V202" s="152"/>
      <c r="W202" s="24" t="str">
        <f>IF(T202=0,"",IF(AND(D199="国内での会議費用（一人5000円以下の飲食代）【10％】",T202&gt;5000),"【！】会議費ではありません【！】",IF(AND(D199="国内での会議費用（一人5000円以下の飲食代）【8％】",T202&gt;5000),"【！】会議費ではありません【！】",IF(AND(D199="国内での飲食接待費（一人5000円超の飲食代）【10％】",T202&lt;=5000),"【！】交際費ではありません【！】",IF(AND(D199="国内での飲食接待費（一人5000円超の飲食代）【8％】",T202&lt;=5000),"【！】交際費ではありません【！】","")))))</f>
        <v/>
      </c>
    </row>
    <row r="203" spans="1:23" s="8" customFormat="1" ht="17.25" customHeight="1">
      <c r="A203" s="76" t="s">
        <v>54</v>
      </c>
      <c r="B203" s="57"/>
      <c r="C203" s="57"/>
      <c r="D203" s="58"/>
      <c r="E203" s="58"/>
      <c r="F203" s="58"/>
      <c r="G203" s="58"/>
      <c r="H203" s="58"/>
      <c r="I203" s="58"/>
      <c r="J203" s="58"/>
      <c r="K203" s="58"/>
      <c r="L203" s="57" t="s">
        <v>60</v>
      </c>
      <c r="M203" s="57"/>
      <c r="N203" s="57"/>
      <c r="O203" s="58"/>
      <c r="P203" s="58"/>
      <c r="Q203" s="57" t="s">
        <v>58</v>
      </c>
      <c r="R203" s="57"/>
      <c r="S203" s="57"/>
      <c r="T203" s="151">
        <f>T201</f>
        <v>0</v>
      </c>
      <c r="U203" s="151"/>
      <c r="V203" s="152"/>
    </row>
    <row r="204" spans="1:23" s="8" customFormat="1" ht="17.25" customHeight="1">
      <c r="A204" s="153" t="s">
        <v>169</v>
      </c>
      <c r="B204" s="154"/>
      <c r="C204" s="154"/>
      <c r="D204" s="155" t="str">
        <f>IFERROR(VLOOKUP(D199,Sheet2!$A$9:$C$17,2,FALSE),"")</f>
        <v/>
      </c>
      <c r="E204" s="155"/>
      <c r="F204" s="155"/>
      <c r="G204" s="155"/>
      <c r="H204" s="155"/>
      <c r="I204" s="155"/>
      <c r="J204" s="155"/>
      <c r="K204" s="155"/>
      <c r="L204" s="154" t="s">
        <v>61</v>
      </c>
      <c r="M204" s="154"/>
      <c r="N204" s="154"/>
      <c r="O204" s="155">
        <f>SUM(O202:P203)</f>
        <v>0</v>
      </c>
      <c r="P204" s="155"/>
      <c r="Q204" s="154" t="s">
        <v>131</v>
      </c>
      <c r="R204" s="154"/>
      <c r="S204" s="154"/>
      <c r="T204" s="155" t="str">
        <f>IF(D204="","",VLOOKUP(D204,Sheet2!$B$9:$C$17,2,FALSE))</f>
        <v/>
      </c>
      <c r="U204" s="155"/>
      <c r="V204" s="206"/>
    </row>
    <row r="205" spans="1:23" s="8" customFormat="1" ht="17.25" customHeight="1"/>
    <row r="206" spans="1:23" s="8" customFormat="1" ht="17.25" customHeight="1"/>
    <row r="207" spans="1:23" s="8" customFormat="1" ht="17.25" customHeight="1"/>
    <row r="208" spans="1:23" s="8" customFormat="1" ht="17.25" customHeight="1"/>
    <row r="209" s="8" customFormat="1" ht="17.25" customHeight="1"/>
    <row r="210" s="8" customFormat="1" ht="17.25" customHeight="1"/>
    <row r="211" s="8" customFormat="1" ht="17.25" customHeight="1"/>
  </sheetData>
  <sheetProtection sheet="1" objects="1" scenarios="1"/>
  <mergeCells count="1021">
    <mergeCell ref="F1:J2"/>
    <mergeCell ref="M121:V121"/>
    <mergeCell ref="M180:V180"/>
    <mergeCell ref="U25:V25"/>
    <mergeCell ref="U26:V26"/>
    <mergeCell ref="U27:V27"/>
    <mergeCell ref="U29:V29"/>
    <mergeCell ref="L17:R17"/>
    <mergeCell ref="L18:R18"/>
    <mergeCell ref="L21:R21"/>
    <mergeCell ref="L20:R20"/>
    <mergeCell ref="L19:R19"/>
    <mergeCell ref="L22:P22"/>
    <mergeCell ref="L23:P23"/>
    <mergeCell ref="L25:P25"/>
    <mergeCell ref="L26:P26"/>
    <mergeCell ref="L27:P27"/>
    <mergeCell ref="L29:P29"/>
    <mergeCell ref="S21:T21"/>
    <mergeCell ref="S23:T23"/>
    <mergeCell ref="Q22:R22"/>
    <mergeCell ref="A4:V4"/>
    <mergeCell ref="Q23:R23"/>
    <mergeCell ref="Q25:R25"/>
    <mergeCell ref="U22:V22"/>
    <mergeCell ref="S22:T22"/>
    <mergeCell ref="A149:C149"/>
    <mergeCell ref="D149:K149"/>
    <mergeCell ref="K43:V51"/>
    <mergeCell ref="S19:T19"/>
    <mergeCell ref="A31:F31"/>
    <mergeCell ref="A32:F32"/>
    <mergeCell ref="A121:E121"/>
    <mergeCell ref="F121:L121"/>
    <mergeCell ref="F180:L180"/>
    <mergeCell ref="A201:C201"/>
    <mergeCell ref="D201:K201"/>
    <mergeCell ref="L202:N202"/>
    <mergeCell ref="O202:P202"/>
    <mergeCell ref="Q201:S201"/>
    <mergeCell ref="T201:V201"/>
    <mergeCell ref="A202:C202"/>
    <mergeCell ref="D202:K202"/>
    <mergeCell ref="L203:N203"/>
    <mergeCell ref="A8:B8"/>
    <mergeCell ref="C8:D8"/>
    <mergeCell ref="C18:F18"/>
    <mergeCell ref="C19:F19"/>
    <mergeCell ref="C20:F20"/>
    <mergeCell ref="C21:F21"/>
    <mergeCell ref="C22:F22"/>
    <mergeCell ref="C23:F23"/>
    <mergeCell ref="B24:F24"/>
    <mergeCell ref="A25:A29"/>
    <mergeCell ref="C25:F25"/>
    <mergeCell ref="A18:A24"/>
    <mergeCell ref="C26:F26"/>
    <mergeCell ref="C27:F27"/>
    <mergeCell ref="C28:F28"/>
    <mergeCell ref="B29:F29"/>
    <mergeCell ref="A30:F30"/>
    <mergeCell ref="O203:P203"/>
    <mergeCell ref="Q202:S202"/>
    <mergeCell ref="T202:V202"/>
    <mergeCell ref="A203:C203"/>
    <mergeCell ref="D203:K203"/>
    <mergeCell ref="L204:N204"/>
    <mergeCell ref="O204:P204"/>
    <mergeCell ref="Q203:S203"/>
    <mergeCell ref="T203:V203"/>
    <mergeCell ref="L201:N201"/>
    <mergeCell ref="O201:P201"/>
    <mergeCell ref="L198:N198"/>
    <mergeCell ref="O198:P198"/>
    <mergeCell ref="Q197:S197"/>
    <mergeCell ref="T197:V197"/>
    <mergeCell ref="A198:C198"/>
    <mergeCell ref="D198:K198"/>
    <mergeCell ref="Q198:S198"/>
    <mergeCell ref="T198:V198"/>
    <mergeCell ref="A199:C199"/>
    <mergeCell ref="D199:K199"/>
    <mergeCell ref="L199:N199"/>
    <mergeCell ref="O199:P199"/>
    <mergeCell ref="Q199:S199"/>
    <mergeCell ref="T199:V199"/>
    <mergeCell ref="D200:K200"/>
    <mergeCell ref="L200:N200"/>
    <mergeCell ref="O200:V200"/>
    <mergeCell ref="A204:C204"/>
    <mergeCell ref="D204:K204"/>
    <mergeCell ref="Q204:S204"/>
    <mergeCell ref="T204:V204"/>
    <mergeCell ref="A200:C200"/>
    <mergeCell ref="A194:C194"/>
    <mergeCell ref="D194:K194"/>
    <mergeCell ref="L194:N194"/>
    <mergeCell ref="O194:V194"/>
    <mergeCell ref="A195:C195"/>
    <mergeCell ref="D195:K195"/>
    <mergeCell ref="L196:N196"/>
    <mergeCell ref="O196:P196"/>
    <mergeCell ref="Q195:S195"/>
    <mergeCell ref="T195:V195"/>
    <mergeCell ref="A196:C196"/>
    <mergeCell ref="D196:K196"/>
    <mergeCell ref="L197:N197"/>
    <mergeCell ref="O197:P197"/>
    <mergeCell ref="Q196:S196"/>
    <mergeCell ref="T196:V196"/>
    <mergeCell ref="A197:C197"/>
    <mergeCell ref="D197:K197"/>
    <mergeCell ref="L195:N195"/>
    <mergeCell ref="O195:P195"/>
    <mergeCell ref="L191:N191"/>
    <mergeCell ref="O191:P191"/>
    <mergeCell ref="Q190:S190"/>
    <mergeCell ref="T190:V190"/>
    <mergeCell ref="A191:C191"/>
    <mergeCell ref="D191:K191"/>
    <mergeCell ref="L192:N192"/>
    <mergeCell ref="O192:P192"/>
    <mergeCell ref="Q191:S191"/>
    <mergeCell ref="T191:V191"/>
    <mergeCell ref="A192:C192"/>
    <mergeCell ref="D192:K192"/>
    <mergeCell ref="Q192:S192"/>
    <mergeCell ref="T192:V192"/>
    <mergeCell ref="A193:C193"/>
    <mergeCell ref="D193:K193"/>
    <mergeCell ref="L193:N193"/>
    <mergeCell ref="O193:P193"/>
    <mergeCell ref="Q193:S193"/>
    <mergeCell ref="T193:V193"/>
    <mergeCell ref="A187:C187"/>
    <mergeCell ref="D187:K187"/>
    <mergeCell ref="L187:N187"/>
    <mergeCell ref="O187:P187"/>
    <mergeCell ref="Q187:S187"/>
    <mergeCell ref="T187:V187"/>
    <mergeCell ref="A188:C188"/>
    <mergeCell ref="D188:K188"/>
    <mergeCell ref="L188:N188"/>
    <mergeCell ref="O188:V188"/>
    <mergeCell ref="A189:C189"/>
    <mergeCell ref="D189:K189"/>
    <mergeCell ref="L190:N190"/>
    <mergeCell ref="O190:P190"/>
    <mergeCell ref="Q189:S189"/>
    <mergeCell ref="T189:V189"/>
    <mergeCell ref="A190:C190"/>
    <mergeCell ref="D190:K190"/>
    <mergeCell ref="L189:N189"/>
    <mergeCell ref="O189:P189"/>
    <mergeCell ref="L186:N186"/>
    <mergeCell ref="O186:P186"/>
    <mergeCell ref="Q183:S183"/>
    <mergeCell ref="T183:V183"/>
    <mergeCell ref="A184:C184"/>
    <mergeCell ref="D184:K184"/>
    <mergeCell ref="Q184:S184"/>
    <mergeCell ref="T184:V184"/>
    <mergeCell ref="A185:C185"/>
    <mergeCell ref="D185:K185"/>
    <mergeCell ref="Q185:S185"/>
    <mergeCell ref="T185:V185"/>
    <mergeCell ref="L185:N185"/>
    <mergeCell ref="O185:P185"/>
    <mergeCell ref="A181:C181"/>
    <mergeCell ref="D181:K181"/>
    <mergeCell ref="L181:N181"/>
    <mergeCell ref="O181:P181"/>
    <mergeCell ref="Q181:S181"/>
    <mergeCell ref="T181:V181"/>
    <mergeCell ref="A182:C182"/>
    <mergeCell ref="D182:K182"/>
    <mergeCell ref="L184:N184"/>
    <mergeCell ref="O184:P184"/>
    <mergeCell ref="L182:N182"/>
    <mergeCell ref="O182:V182"/>
    <mergeCell ref="A183:C183"/>
    <mergeCell ref="D183:K183"/>
    <mergeCell ref="A186:C186"/>
    <mergeCell ref="D186:K186"/>
    <mergeCell ref="Q186:S186"/>
    <mergeCell ref="T186:V186"/>
    <mergeCell ref="Q149:S149"/>
    <mergeCell ref="T149:V149"/>
    <mergeCell ref="Q26:R26"/>
    <mergeCell ref="Q27:R27"/>
    <mergeCell ref="Q29:R29"/>
    <mergeCell ref="L31:T31"/>
    <mergeCell ref="U31:V31"/>
    <mergeCell ref="A146:C146"/>
    <mergeCell ref="D146:K146"/>
    <mergeCell ref="L147:N147"/>
    <mergeCell ref="O147:P147"/>
    <mergeCell ref="Q146:S146"/>
    <mergeCell ref="T146:V146"/>
    <mergeCell ref="A147:C147"/>
    <mergeCell ref="D147:K147"/>
    <mergeCell ref="L148:N148"/>
    <mergeCell ref="O148:P148"/>
    <mergeCell ref="Q147:S147"/>
    <mergeCell ref="T147:V147"/>
    <mergeCell ref="A148:C148"/>
    <mergeCell ref="D148:K148"/>
    <mergeCell ref="L149:N149"/>
    <mergeCell ref="O149:P149"/>
    <mergeCell ref="Q148:S148"/>
    <mergeCell ref="T148:V148"/>
    <mergeCell ref="A143:C143"/>
    <mergeCell ref="D143:K143"/>
    <mergeCell ref="L143:N143"/>
    <mergeCell ref="O143:P143"/>
    <mergeCell ref="Q143:S143"/>
    <mergeCell ref="A144:C144"/>
    <mergeCell ref="A44:B44"/>
    <mergeCell ref="D144:K144"/>
    <mergeCell ref="L145:N145"/>
    <mergeCell ref="O145:P145"/>
    <mergeCell ref="Q144:S144"/>
    <mergeCell ref="T144:V144"/>
    <mergeCell ref="A145:C145"/>
    <mergeCell ref="D145:K145"/>
    <mergeCell ref="L146:N146"/>
    <mergeCell ref="O146:P146"/>
    <mergeCell ref="Q145:S145"/>
    <mergeCell ref="T145:V145"/>
    <mergeCell ref="D140:K140"/>
    <mergeCell ref="L141:N141"/>
    <mergeCell ref="O141:P141"/>
    <mergeCell ref="Q140:S140"/>
    <mergeCell ref="T140:V140"/>
    <mergeCell ref="A141:C141"/>
    <mergeCell ref="D141:K141"/>
    <mergeCell ref="L142:N142"/>
    <mergeCell ref="O142:P142"/>
    <mergeCell ref="Q141:S141"/>
    <mergeCell ref="T141:V141"/>
    <mergeCell ref="A140:C140"/>
    <mergeCell ref="A142:C142"/>
    <mergeCell ref="D142:K142"/>
    <mergeCell ref="Q142:S142"/>
    <mergeCell ref="T142:V142"/>
    <mergeCell ref="T135:V135"/>
    <mergeCell ref="A136:C136"/>
    <mergeCell ref="D136:K136"/>
    <mergeCell ref="L136:N136"/>
    <mergeCell ref="O136:P136"/>
    <mergeCell ref="Q136:S136"/>
    <mergeCell ref="T136:V136"/>
    <mergeCell ref="A135:C135"/>
    <mergeCell ref="D135:K135"/>
    <mergeCell ref="A137:C137"/>
    <mergeCell ref="D137:K137"/>
    <mergeCell ref="L138:N138"/>
    <mergeCell ref="O138:P138"/>
    <mergeCell ref="Q137:S137"/>
    <mergeCell ref="T137:V137"/>
    <mergeCell ref="T143:V143"/>
    <mergeCell ref="A138:C138"/>
    <mergeCell ref="D138:K138"/>
    <mergeCell ref="L139:N139"/>
    <mergeCell ref="O139:P139"/>
    <mergeCell ref="Q138:S138"/>
    <mergeCell ref="T138:V138"/>
    <mergeCell ref="A139:C139"/>
    <mergeCell ref="D139:K139"/>
    <mergeCell ref="L140:N140"/>
    <mergeCell ref="O140:P140"/>
    <mergeCell ref="Q139:S139"/>
    <mergeCell ref="T139:V139"/>
    <mergeCell ref="S29:T29"/>
    <mergeCell ref="L16:V16"/>
    <mergeCell ref="U23:V23"/>
    <mergeCell ref="A77:B77"/>
    <mergeCell ref="T128:V128"/>
    <mergeCell ref="Q124:S124"/>
    <mergeCell ref="L127:N127"/>
    <mergeCell ref="Q125:S125"/>
    <mergeCell ref="Q126:S126"/>
    <mergeCell ref="Q127:S127"/>
    <mergeCell ref="D126:K126"/>
    <mergeCell ref="D127:K127"/>
    <mergeCell ref="A127:C127"/>
    <mergeCell ref="A129:C129"/>
    <mergeCell ref="D129:K129"/>
    <mergeCell ref="L129:N129"/>
    <mergeCell ref="O129:P129"/>
    <mergeCell ref="Q129:S129"/>
    <mergeCell ref="T129:V129"/>
    <mergeCell ref="A96:B96"/>
    <mergeCell ref="C96:D96"/>
    <mergeCell ref="F96:J96"/>
    <mergeCell ref="K96:L96"/>
    <mergeCell ref="M96:N96"/>
    <mergeCell ref="A105:B105"/>
    <mergeCell ref="C105:J105"/>
    <mergeCell ref="K105:L105"/>
    <mergeCell ref="M105:N105"/>
    <mergeCell ref="O105:P105"/>
    <mergeCell ref="Q105:R105"/>
    <mergeCell ref="U106:V106"/>
    <mergeCell ref="Q108:R108"/>
    <mergeCell ref="A1:E2"/>
    <mergeCell ref="R1:V1"/>
    <mergeCell ref="R2:S2"/>
    <mergeCell ref="R3:S3"/>
    <mergeCell ref="T2:V2"/>
    <mergeCell ref="T3:V3"/>
    <mergeCell ref="A94:B94"/>
    <mergeCell ref="C94:D94"/>
    <mergeCell ref="F94:J94"/>
    <mergeCell ref="A93:B93"/>
    <mergeCell ref="C93:D93"/>
    <mergeCell ref="F93:J93"/>
    <mergeCell ref="G19:H19"/>
    <mergeCell ref="G20:H20"/>
    <mergeCell ref="G21:H21"/>
    <mergeCell ref="G22:H22"/>
    <mergeCell ref="G23:H23"/>
    <mergeCell ref="G24:H24"/>
    <mergeCell ref="A42:C42"/>
    <mergeCell ref="D42:V42"/>
    <mergeCell ref="G26:H26"/>
    <mergeCell ref="G27:H27"/>
    <mergeCell ref="A17:F17"/>
    <mergeCell ref="P8:S8"/>
    <mergeCell ref="A16:I16"/>
    <mergeCell ref="S26:T26"/>
    <mergeCell ref="S27:T27"/>
    <mergeCell ref="Q77:R77"/>
    <mergeCell ref="S77:T77"/>
    <mergeCell ref="U77:V77"/>
    <mergeCell ref="E78:F78"/>
    <mergeCell ref="G78:H78"/>
    <mergeCell ref="U94:V94"/>
    <mergeCell ref="A103:C103"/>
    <mergeCell ref="D103:V103"/>
    <mergeCell ref="A104:B104"/>
    <mergeCell ref="C104:J104"/>
    <mergeCell ref="K104:L104"/>
    <mergeCell ref="M104:N104"/>
    <mergeCell ref="O104:P104"/>
    <mergeCell ref="Q104:R104"/>
    <mergeCell ref="S104:T104"/>
    <mergeCell ref="U104:V104"/>
    <mergeCell ref="S98:T98"/>
    <mergeCell ref="U98:V98"/>
    <mergeCell ref="A95:B95"/>
    <mergeCell ref="C95:D95"/>
    <mergeCell ref="F95:J95"/>
    <mergeCell ref="K95:L95"/>
    <mergeCell ref="Q78:R78"/>
    <mergeCell ref="S78:T78"/>
    <mergeCell ref="U78:V78"/>
    <mergeCell ref="A110:R110"/>
    <mergeCell ref="S110:T110"/>
    <mergeCell ref="U110:V110"/>
    <mergeCell ref="A107:B107"/>
    <mergeCell ref="C107:J107"/>
    <mergeCell ref="K107:L107"/>
    <mergeCell ref="M107:N107"/>
    <mergeCell ref="O107:P107"/>
    <mergeCell ref="Q107:R107"/>
    <mergeCell ref="S107:T107"/>
    <mergeCell ref="U107:V107"/>
    <mergeCell ref="A108:B108"/>
    <mergeCell ref="C108:J108"/>
    <mergeCell ref="K108:L108"/>
    <mergeCell ref="M108:N108"/>
    <mergeCell ref="O108:P108"/>
    <mergeCell ref="A109:B109"/>
    <mergeCell ref="C109:J109"/>
    <mergeCell ref="K109:L109"/>
    <mergeCell ref="M109:N109"/>
    <mergeCell ref="A97:B97"/>
    <mergeCell ref="C97:D97"/>
    <mergeCell ref="F97:J97"/>
    <mergeCell ref="K97:L97"/>
    <mergeCell ref="M97:N97"/>
    <mergeCell ref="S108:T108"/>
    <mergeCell ref="U108:V108"/>
    <mergeCell ref="K94:L94"/>
    <mergeCell ref="M94:N94"/>
    <mergeCell ref="A178:R178"/>
    <mergeCell ref="A167:B167"/>
    <mergeCell ref="A168:B168"/>
    <mergeCell ref="A169:B169"/>
    <mergeCell ref="A165:B165"/>
    <mergeCell ref="C169:R169"/>
    <mergeCell ref="S178:T178"/>
    <mergeCell ref="A126:C126"/>
    <mergeCell ref="S118:T118"/>
    <mergeCell ref="A175:B175"/>
    <mergeCell ref="A176:B176"/>
    <mergeCell ref="S173:T173"/>
    <mergeCell ref="S175:T175"/>
    <mergeCell ref="A157:B157"/>
    <mergeCell ref="A122:C122"/>
    <mergeCell ref="A123:C123"/>
    <mergeCell ref="A124:C124"/>
    <mergeCell ref="D122:K122"/>
    <mergeCell ref="Q122:S122"/>
    <mergeCell ref="T122:V122"/>
    <mergeCell ref="D123:K123"/>
    <mergeCell ref="D124:K124"/>
    <mergeCell ref="D125:K125"/>
    <mergeCell ref="O122:P122"/>
    <mergeCell ref="U178:V178"/>
    <mergeCell ref="S176:T176"/>
    <mergeCell ref="U176:V176"/>
    <mergeCell ref="A166:B166"/>
    <mergeCell ref="A159:B159"/>
    <mergeCell ref="A164:C164"/>
    <mergeCell ref="D164:V164"/>
    <mergeCell ref="A162:R162"/>
    <mergeCell ref="S177:T177"/>
    <mergeCell ref="U177:V177"/>
    <mergeCell ref="A177:B177"/>
    <mergeCell ref="C173:R173"/>
    <mergeCell ref="C174:R174"/>
    <mergeCell ref="C175:R175"/>
    <mergeCell ref="C176:R176"/>
    <mergeCell ref="C177:R177"/>
    <mergeCell ref="A173:B173"/>
    <mergeCell ref="A174:B174"/>
    <mergeCell ref="A91:B91"/>
    <mergeCell ref="A112:C112"/>
    <mergeCell ref="D112:V112"/>
    <mergeCell ref="A154:C154"/>
    <mergeCell ref="D154:V154"/>
    <mergeCell ref="A152:V152"/>
    <mergeCell ref="M118:N118"/>
    <mergeCell ref="O118:P118"/>
    <mergeCell ref="Q118:R118"/>
    <mergeCell ref="A98:R98"/>
    <mergeCell ref="Q123:S123"/>
    <mergeCell ref="L128:N128"/>
    <mergeCell ref="O128:P128"/>
    <mergeCell ref="A113:B113"/>
    <mergeCell ref="A114:B114"/>
    <mergeCell ref="A115:B115"/>
    <mergeCell ref="C113:J113"/>
    <mergeCell ref="S96:T96"/>
    <mergeCell ref="Q92:R92"/>
    <mergeCell ref="K93:L93"/>
    <mergeCell ref="M93:N93"/>
    <mergeCell ref="O93:P93"/>
    <mergeCell ref="A170:R170"/>
    <mergeCell ref="S170:T170"/>
    <mergeCell ref="U170:V170"/>
    <mergeCell ref="S167:T167"/>
    <mergeCell ref="U167:V167"/>
    <mergeCell ref="S168:T168"/>
    <mergeCell ref="U168:V168"/>
    <mergeCell ref="S169:T169"/>
    <mergeCell ref="U169:V169"/>
    <mergeCell ref="C167:R167"/>
    <mergeCell ref="C168:R168"/>
    <mergeCell ref="G159:J159"/>
    <mergeCell ref="A161:B161"/>
    <mergeCell ref="C161:F161"/>
    <mergeCell ref="C159:F159"/>
    <mergeCell ref="U97:V97"/>
    <mergeCell ref="S105:T105"/>
    <mergeCell ref="U105:V105"/>
    <mergeCell ref="A106:B106"/>
    <mergeCell ref="C106:J106"/>
    <mergeCell ref="K106:L106"/>
    <mergeCell ref="M106:N106"/>
    <mergeCell ref="O106:P106"/>
    <mergeCell ref="Q106:R106"/>
    <mergeCell ref="S106:T106"/>
    <mergeCell ref="C166:R166"/>
    <mergeCell ref="S166:T166"/>
    <mergeCell ref="A118:B118"/>
    <mergeCell ref="A117:B117"/>
    <mergeCell ref="S114:T114"/>
    <mergeCell ref="U114:V114"/>
    <mergeCell ref="C115:J115"/>
    <mergeCell ref="U30:V30"/>
    <mergeCell ref="K115:L115"/>
    <mergeCell ref="M115:N115"/>
    <mergeCell ref="A116:B116"/>
    <mergeCell ref="S119:T119"/>
    <mergeCell ref="U119:V119"/>
    <mergeCell ref="C118:J118"/>
    <mergeCell ref="K118:L118"/>
    <mergeCell ref="C35:E35"/>
    <mergeCell ref="C36:E39"/>
    <mergeCell ref="A61:H61"/>
    <mergeCell ref="Q85:R85"/>
    <mergeCell ref="O86:P86"/>
    <mergeCell ref="C91:D91"/>
    <mergeCell ref="F91:J91"/>
    <mergeCell ref="K91:L91"/>
    <mergeCell ref="A92:B92"/>
    <mergeCell ref="C92:D92"/>
    <mergeCell ref="F92:J92"/>
    <mergeCell ref="K92:L92"/>
    <mergeCell ref="A66:C66"/>
    <mergeCell ref="D66:V66"/>
    <mergeCell ref="D90:V90"/>
    <mergeCell ref="A87:B87"/>
    <mergeCell ref="C86:D86"/>
    <mergeCell ref="E81:F81"/>
    <mergeCell ref="D59:E59"/>
    <mergeCell ref="D60:E60"/>
    <mergeCell ref="I57:J57"/>
    <mergeCell ref="I58:J58"/>
    <mergeCell ref="I59:J59"/>
    <mergeCell ref="Q116:R116"/>
    <mergeCell ref="S18:T18"/>
    <mergeCell ref="U18:V18"/>
    <mergeCell ref="S165:T165"/>
    <mergeCell ref="U165:V165"/>
    <mergeCell ref="S162:T162"/>
    <mergeCell ref="U162:V162"/>
    <mergeCell ref="U160:V160"/>
    <mergeCell ref="G30:H30"/>
    <mergeCell ref="G31:H31"/>
    <mergeCell ref="G32:H32"/>
    <mergeCell ref="S20:T20"/>
    <mergeCell ref="U20:V20"/>
    <mergeCell ref="T36:V39"/>
    <mergeCell ref="T35:V35"/>
    <mergeCell ref="J35:L35"/>
    <mergeCell ref="M35:O35"/>
    <mergeCell ref="Q35:S35"/>
    <mergeCell ref="J36:L39"/>
    <mergeCell ref="M36:O39"/>
    <mergeCell ref="Q36:S39"/>
    <mergeCell ref="G25:H25"/>
    <mergeCell ref="U19:V19"/>
    <mergeCell ref="U21:V21"/>
    <mergeCell ref="F35:H35"/>
    <mergeCell ref="I82:J82"/>
    <mergeCell ref="I83:J83"/>
    <mergeCell ref="I84:J84"/>
    <mergeCell ref="K87:L87"/>
    <mergeCell ref="I87:J87"/>
    <mergeCell ref="E86:F86"/>
    <mergeCell ref="E87:F87"/>
    <mergeCell ref="E85:F85"/>
    <mergeCell ref="G160:J160"/>
    <mergeCell ref="M157:R157"/>
    <mergeCell ref="S157:T157"/>
    <mergeCell ref="U157:V157"/>
    <mergeCell ref="K160:L160"/>
    <mergeCell ref="U17:V17"/>
    <mergeCell ref="S17:T17"/>
    <mergeCell ref="L30:T30"/>
    <mergeCell ref="M91:N91"/>
    <mergeCell ref="O91:P91"/>
    <mergeCell ref="Q91:R91"/>
    <mergeCell ref="S91:T91"/>
    <mergeCell ref="U91:V91"/>
    <mergeCell ref="I61:J61"/>
    <mergeCell ref="K57:V57"/>
    <mergeCell ref="K58:V58"/>
    <mergeCell ref="K59:V59"/>
    <mergeCell ref="K60:V60"/>
    <mergeCell ref="U82:V82"/>
    <mergeCell ref="U83:V83"/>
    <mergeCell ref="U84:V84"/>
    <mergeCell ref="U85:V85"/>
    <mergeCell ref="S86:T86"/>
    <mergeCell ref="S87:T87"/>
    <mergeCell ref="S85:T85"/>
    <mergeCell ref="Q86:R86"/>
    <mergeCell ref="Q87:R87"/>
    <mergeCell ref="A64:V64"/>
    <mergeCell ref="A90:C90"/>
    <mergeCell ref="S88:T88"/>
    <mergeCell ref="A88:R88"/>
    <mergeCell ref="U88:V88"/>
    <mergeCell ref="L126:N126"/>
    <mergeCell ref="O124:P124"/>
    <mergeCell ref="O125:P125"/>
    <mergeCell ref="O126:P126"/>
    <mergeCell ref="T125:V125"/>
    <mergeCell ref="T126:V126"/>
    <mergeCell ref="T123:V123"/>
    <mergeCell ref="T124:V124"/>
    <mergeCell ref="T127:V127"/>
    <mergeCell ref="A128:C128"/>
    <mergeCell ref="D128:K128"/>
    <mergeCell ref="Q128:S128"/>
    <mergeCell ref="A158:B158"/>
    <mergeCell ref="G158:J158"/>
    <mergeCell ref="K158:L158"/>
    <mergeCell ref="M158:R158"/>
    <mergeCell ref="S158:T158"/>
    <mergeCell ref="U158:V158"/>
    <mergeCell ref="T132:V132"/>
    <mergeCell ref="A133:C133"/>
    <mergeCell ref="D133:K133"/>
    <mergeCell ref="L134:N134"/>
    <mergeCell ref="O134:P134"/>
    <mergeCell ref="Q133:S133"/>
    <mergeCell ref="T133:V133"/>
    <mergeCell ref="A134:C134"/>
    <mergeCell ref="D134:K134"/>
    <mergeCell ref="L135:N135"/>
    <mergeCell ref="O135:P135"/>
    <mergeCell ref="Q134:S134"/>
    <mergeCell ref="T134:V134"/>
    <mergeCell ref="Q135:S135"/>
    <mergeCell ref="M160:R160"/>
    <mergeCell ref="K161:L161"/>
    <mergeCell ref="M161:R161"/>
    <mergeCell ref="S161:T161"/>
    <mergeCell ref="U161:V161"/>
    <mergeCell ref="A172:C172"/>
    <mergeCell ref="D172:V172"/>
    <mergeCell ref="U166:V166"/>
    <mergeCell ref="O132:P132"/>
    <mergeCell ref="Q131:S131"/>
    <mergeCell ref="T131:V131"/>
    <mergeCell ref="A132:C132"/>
    <mergeCell ref="D132:K132"/>
    <mergeCell ref="L133:N133"/>
    <mergeCell ref="O133:P133"/>
    <mergeCell ref="Q132:S132"/>
    <mergeCell ref="A130:C130"/>
    <mergeCell ref="D130:K130"/>
    <mergeCell ref="L131:N131"/>
    <mergeCell ref="O131:P131"/>
    <mergeCell ref="Q130:S130"/>
    <mergeCell ref="T130:V130"/>
    <mergeCell ref="A131:C131"/>
    <mergeCell ref="D131:K131"/>
    <mergeCell ref="L132:N132"/>
    <mergeCell ref="K159:L159"/>
    <mergeCell ref="M159:R159"/>
    <mergeCell ref="S159:T159"/>
    <mergeCell ref="U159:V159"/>
    <mergeCell ref="S160:T160"/>
    <mergeCell ref="A160:B160"/>
    <mergeCell ref="C160:F160"/>
    <mergeCell ref="S75:T75"/>
    <mergeCell ref="S76:T76"/>
    <mergeCell ref="S79:T79"/>
    <mergeCell ref="S80:T80"/>
    <mergeCell ref="Q75:R75"/>
    <mergeCell ref="Q79:R79"/>
    <mergeCell ref="Q80:R80"/>
    <mergeCell ref="Q81:R81"/>
    <mergeCell ref="Q82:R82"/>
    <mergeCell ref="Q83:R83"/>
    <mergeCell ref="O96:P96"/>
    <mergeCell ref="Q96:R96"/>
    <mergeCell ref="S116:T116"/>
    <mergeCell ref="U116:V116"/>
    <mergeCell ref="C117:J117"/>
    <mergeCell ref="K117:L117"/>
    <mergeCell ref="M117:N117"/>
    <mergeCell ref="O117:P117"/>
    <mergeCell ref="Q117:R117"/>
    <mergeCell ref="K113:L113"/>
    <mergeCell ref="M113:N113"/>
    <mergeCell ref="Q93:R93"/>
    <mergeCell ref="S93:T93"/>
    <mergeCell ref="U93:V93"/>
    <mergeCell ref="Q95:R95"/>
    <mergeCell ref="S95:T95"/>
    <mergeCell ref="U95:V95"/>
    <mergeCell ref="U96:V96"/>
    <mergeCell ref="M92:N92"/>
    <mergeCell ref="O92:P92"/>
    <mergeCell ref="S92:T92"/>
    <mergeCell ref="U92:V92"/>
    <mergeCell ref="S81:T81"/>
    <mergeCell ref="U86:V86"/>
    <mergeCell ref="U87:V87"/>
    <mergeCell ref="U118:V118"/>
    <mergeCell ref="M114:N114"/>
    <mergeCell ref="O114:P114"/>
    <mergeCell ref="Q114:R114"/>
    <mergeCell ref="O97:P97"/>
    <mergeCell ref="Q97:R97"/>
    <mergeCell ref="S97:T97"/>
    <mergeCell ref="O87:P87"/>
    <mergeCell ref="O85:P85"/>
    <mergeCell ref="M86:N86"/>
    <mergeCell ref="S83:T83"/>
    <mergeCell ref="S84:T84"/>
    <mergeCell ref="O109:P109"/>
    <mergeCell ref="Q109:R109"/>
    <mergeCell ref="S109:T109"/>
    <mergeCell ref="U109:V109"/>
    <mergeCell ref="M95:N95"/>
    <mergeCell ref="O95:P95"/>
    <mergeCell ref="Q84:R84"/>
    <mergeCell ref="M83:N83"/>
    <mergeCell ref="M84:N84"/>
    <mergeCell ref="O83:P83"/>
    <mergeCell ref="O84:P84"/>
    <mergeCell ref="U81:V81"/>
    <mergeCell ref="M87:N87"/>
    <mergeCell ref="M85:N85"/>
    <mergeCell ref="O94:P94"/>
    <mergeCell ref="Q94:R94"/>
    <mergeCell ref="S94:T94"/>
    <mergeCell ref="K8:N8"/>
    <mergeCell ref="E8:F8"/>
    <mergeCell ref="G8:H8"/>
    <mergeCell ref="I8:J8"/>
    <mergeCell ref="A9:B9"/>
    <mergeCell ref="C9:D9"/>
    <mergeCell ref="E9:F9"/>
    <mergeCell ref="T8:U8"/>
    <mergeCell ref="A12:B12"/>
    <mergeCell ref="A156:B156"/>
    <mergeCell ref="K156:L156"/>
    <mergeCell ref="S156:T156"/>
    <mergeCell ref="U156:V156"/>
    <mergeCell ref="G156:J156"/>
    <mergeCell ref="C156:F156"/>
    <mergeCell ref="M156:R156"/>
    <mergeCell ref="K61:V61"/>
    <mergeCell ref="F58:H58"/>
    <mergeCell ref="F60:H60"/>
    <mergeCell ref="G155:J155"/>
    <mergeCell ref="C155:F155"/>
    <mergeCell ref="M155:R155"/>
    <mergeCell ref="A155:B155"/>
    <mergeCell ref="K155:L155"/>
    <mergeCell ref="U113:V113"/>
    <mergeCell ref="C114:J114"/>
    <mergeCell ref="K114:L114"/>
    <mergeCell ref="U74:V74"/>
    <mergeCell ref="U75:V75"/>
    <mergeCell ref="U76:V76"/>
    <mergeCell ref="U79:V79"/>
    <mergeCell ref="U80:V80"/>
    <mergeCell ref="A13:B13"/>
    <mergeCell ref="M12:V13"/>
    <mergeCell ref="A11:B11"/>
    <mergeCell ref="A54:V54"/>
    <mergeCell ref="U67:V67"/>
    <mergeCell ref="U68:V68"/>
    <mergeCell ref="U69:V69"/>
    <mergeCell ref="U70:V70"/>
    <mergeCell ref="U71:V71"/>
    <mergeCell ref="U72:V72"/>
    <mergeCell ref="U73:V73"/>
    <mergeCell ref="G29:H29"/>
    <mergeCell ref="A56:C56"/>
    <mergeCell ref="D56:V56"/>
    <mergeCell ref="Q68:R68"/>
    <mergeCell ref="Q69:R69"/>
    <mergeCell ref="Q70:R70"/>
    <mergeCell ref="Q71:R71"/>
    <mergeCell ref="Q72:R72"/>
    <mergeCell ref="Q73:R73"/>
    <mergeCell ref="Q67:R67"/>
    <mergeCell ref="M69:N69"/>
    <mergeCell ref="M70:N70"/>
    <mergeCell ref="M71:N71"/>
    <mergeCell ref="M72:N72"/>
    <mergeCell ref="M73:N73"/>
    <mergeCell ref="G43:I43"/>
    <mergeCell ref="G45:I45"/>
    <mergeCell ref="G46:I46"/>
    <mergeCell ref="G47:I47"/>
    <mergeCell ref="G48:I48"/>
    <mergeCell ref="G49:I49"/>
    <mergeCell ref="Q74:R74"/>
    <mergeCell ref="Q76:R76"/>
    <mergeCell ref="M67:N67"/>
    <mergeCell ref="M68:N68"/>
    <mergeCell ref="O67:P67"/>
    <mergeCell ref="O68:P68"/>
    <mergeCell ref="O69:P69"/>
    <mergeCell ref="O70:P70"/>
    <mergeCell ref="S82:T82"/>
    <mergeCell ref="O71:P71"/>
    <mergeCell ref="O72:P72"/>
    <mergeCell ref="O73:P73"/>
    <mergeCell ref="M81:N81"/>
    <mergeCell ref="M82:N82"/>
    <mergeCell ref="O74:P74"/>
    <mergeCell ref="M74:N74"/>
    <mergeCell ref="S67:T67"/>
    <mergeCell ref="S68:T68"/>
    <mergeCell ref="S69:T69"/>
    <mergeCell ref="S70:T70"/>
    <mergeCell ref="S71:T71"/>
    <mergeCell ref="S72:T72"/>
    <mergeCell ref="S73:T73"/>
    <mergeCell ref="S74:T74"/>
    <mergeCell ref="O82:P82"/>
    <mergeCell ref="O75:P75"/>
    <mergeCell ref="O76:P76"/>
    <mergeCell ref="O79:P79"/>
    <mergeCell ref="O80:P80"/>
    <mergeCell ref="O81:P81"/>
    <mergeCell ref="M75:N75"/>
    <mergeCell ref="M76:N76"/>
    <mergeCell ref="I75:J75"/>
    <mergeCell ref="I86:J86"/>
    <mergeCell ref="I85:J85"/>
    <mergeCell ref="K81:L81"/>
    <mergeCell ref="K82:L82"/>
    <mergeCell ref="K83:L83"/>
    <mergeCell ref="K84:L84"/>
    <mergeCell ref="K80:L80"/>
    <mergeCell ref="K76:L76"/>
    <mergeCell ref="K79:L79"/>
    <mergeCell ref="G86:H86"/>
    <mergeCell ref="G77:H77"/>
    <mergeCell ref="I77:J77"/>
    <mergeCell ref="K77:L77"/>
    <mergeCell ref="M77:N77"/>
    <mergeCell ref="O77:P77"/>
    <mergeCell ref="G87:H87"/>
    <mergeCell ref="G79:H79"/>
    <mergeCell ref="G80:H80"/>
    <mergeCell ref="M79:N79"/>
    <mergeCell ref="M80:N80"/>
    <mergeCell ref="K85:L85"/>
    <mergeCell ref="I81:J81"/>
    <mergeCell ref="I78:J78"/>
    <mergeCell ref="K78:L78"/>
    <mergeCell ref="M78:N78"/>
    <mergeCell ref="O78:P78"/>
    <mergeCell ref="E84:F84"/>
    <mergeCell ref="A45:B45"/>
    <mergeCell ref="A46:B46"/>
    <mergeCell ref="A47:B47"/>
    <mergeCell ref="G75:H75"/>
    <mergeCell ref="G76:H76"/>
    <mergeCell ref="K67:L67"/>
    <mergeCell ref="K68:L68"/>
    <mergeCell ref="K69:L69"/>
    <mergeCell ref="K70:L70"/>
    <mergeCell ref="K71:L71"/>
    <mergeCell ref="K72:L72"/>
    <mergeCell ref="K73:L73"/>
    <mergeCell ref="K74:L74"/>
    <mergeCell ref="K86:L86"/>
    <mergeCell ref="K75:L75"/>
    <mergeCell ref="I76:J76"/>
    <mergeCell ref="I79:J79"/>
    <mergeCell ref="I80:J80"/>
    <mergeCell ref="G81:H81"/>
    <mergeCell ref="G82:H82"/>
    <mergeCell ref="G83:H83"/>
    <mergeCell ref="G84:H84"/>
    <mergeCell ref="G85:H85"/>
    <mergeCell ref="I67:J67"/>
    <mergeCell ref="I68:J68"/>
    <mergeCell ref="I69:J69"/>
    <mergeCell ref="I70:J70"/>
    <mergeCell ref="I71:J71"/>
    <mergeCell ref="I72:J72"/>
    <mergeCell ref="I73:J73"/>
    <mergeCell ref="I74:J74"/>
    <mergeCell ref="E73:F73"/>
    <mergeCell ref="E74:F74"/>
    <mergeCell ref="E75:F75"/>
    <mergeCell ref="A43:B43"/>
    <mergeCell ref="C44:D44"/>
    <mergeCell ref="E44:F44"/>
    <mergeCell ref="G44:I44"/>
    <mergeCell ref="A86:B86"/>
    <mergeCell ref="A79:B79"/>
    <mergeCell ref="A80:B80"/>
    <mergeCell ref="A71:B71"/>
    <mergeCell ref="C76:D76"/>
    <mergeCell ref="C79:D79"/>
    <mergeCell ref="C80:D80"/>
    <mergeCell ref="A81:B81"/>
    <mergeCell ref="A82:B82"/>
    <mergeCell ref="A83:B83"/>
    <mergeCell ref="A84:B84"/>
    <mergeCell ref="A85:B85"/>
    <mergeCell ref="A75:B75"/>
    <mergeCell ref="A76:B76"/>
    <mergeCell ref="C85:D85"/>
    <mergeCell ref="C71:D71"/>
    <mergeCell ref="C72:D72"/>
    <mergeCell ref="C73:D73"/>
    <mergeCell ref="C74:D74"/>
    <mergeCell ref="C75:D75"/>
    <mergeCell ref="A78:B78"/>
    <mergeCell ref="C78:D78"/>
    <mergeCell ref="C77:D77"/>
    <mergeCell ref="E77:F77"/>
    <mergeCell ref="E49:F49"/>
    <mergeCell ref="E45:F45"/>
    <mergeCell ref="E46:F46"/>
    <mergeCell ref="E47:F47"/>
    <mergeCell ref="E48:F48"/>
    <mergeCell ref="E43:F43"/>
    <mergeCell ref="E50:F50"/>
    <mergeCell ref="E51:F51"/>
    <mergeCell ref="I60:J60"/>
    <mergeCell ref="E79:F79"/>
    <mergeCell ref="A72:B72"/>
    <mergeCell ref="A73:B73"/>
    <mergeCell ref="A67:B67"/>
    <mergeCell ref="A68:B68"/>
    <mergeCell ref="C43:D43"/>
    <mergeCell ref="C45:D45"/>
    <mergeCell ref="C46:D46"/>
    <mergeCell ref="C47:D47"/>
    <mergeCell ref="C48:D48"/>
    <mergeCell ref="C51:D51"/>
    <mergeCell ref="A50:B50"/>
    <mergeCell ref="A51:B51"/>
    <mergeCell ref="A74:B74"/>
    <mergeCell ref="A69:B69"/>
    <mergeCell ref="A70:B70"/>
    <mergeCell ref="C67:D67"/>
    <mergeCell ref="C68:D68"/>
    <mergeCell ref="C69:D69"/>
    <mergeCell ref="C70:D70"/>
    <mergeCell ref="A57:C57"/>
    <mergeCell ref="A58:C58"/>
    <mergeCell ref="F57:H57"/>
    <mergeCell ref="E72:F72"/>
    <mergeCell ref="U175:V175"/>
    <mergeCell ref="O113:P113"/>
    <mergeCell ref="Q113:R113"/>
    <mergeCell ref="S113:T113"/>
    <mergeCell ref="O115:P115"/>
    <mergeCell ref="Q115:R115"/>
    <mergeCell ref="S115:T115"/>
    <mergeCell ref="U115:V115"/>
    <mergeCell ref="A119:R119"/>
    <mergeCell ref="S117:T117"/>
    <mergeCell ref="U117:V117"/>
    <mergeCell ref="C116:J116"/>
    <mergeCell ref="K116:L116"/>
    <mergeCell ref="M116:N116"/>
    <mergeCell ref="O116:P116"/>
    <mergeCell ref="A180:E180"/>
    <mergeCell ref="C158:F158"/>
    <mergeCell ref="C157:F157"/>
    <mergeCell ref="G157:J157"/>
    <mergeCell ref="K157:L157"/>
    <mergeCell ref="A125:C125"/>
    <mergeCell ref="O127:P127"/>
    <mergeCell ref="S155:T155"/>
    <mergeCell ref="U155:V155"/>
    <mergeCell ref="G161:J161"/>
    <mergeCell ref="L122:N122"/>
    <mergeCell ref="L124:N124"/>
    <mergeCell ref="L125:N125"/>
    <mergeCell ref="U173:V173"/>
    <mergeCell ref="S174:T174"/>
    <mergeCell ref="U174:V174"/>
    <mergeCell ref="C165:R165"/>
    <mergeCell ref="L130:N130"/>
    <mergeCell ref="O130:P130"/>
    <mergeCell ref="L137:N137"/>
    <mergeCell ref="O137:P137"/>
    <mergeCell ref="L144:N144"/>
    <mergeCell ref="O144:P144"/>
    <mergeCell ref="L183:N183"/>
    <mergeCell ref="O183:P183"/>
    <mergeCell ref="G17:I17"/>
    <mergeCell ref="G28:H28"/>
    <mergeCell ref="G18:H18"/>
    <mergeCell ref="S25:T25"/>
    <mergeCell ref="C49:D49"/>
    <mergeCell ref="C50:D50"/>
    <mergeCell ref="C87:D87"/>
    <mergeCell ref="G67:H67"/>
    <mergeCell ref="E80:F80"/>
    <mergeCell ref="C81:D81"/>
    <mergeCell ref="C82:D82"/>
    <mergeCell ref="C83:D83"/>
    <mergeCell ref="C84:D84"/>
    <mergeCell ref="E82:F82"/>
    <mergeCell ref="E83:F83"/>
    <mergeCell ref="E68:F68"/>
    <mergeCell ref="A59:C59"/>
    <mergeCell ref="A60:C60"/>
    <mergeCell ref="D57:E57"/>
    <mergeCell ref="D58:E58"/>
    <mergeCell ref="E67:F67"/>
    <mergeCell ref="E69:F69"/>
    <mergeCell ref="E70:F70"/>
    <mergeCell ref="E71:F71"/>
    <mergeCell ref="A5:Q5"/>
    <mergeCell ref="L28:P28"/>
    <mergeCell ref="Q28:R28"/>
    <mergeCell ref="S28:T28"/>
    <mergeCell ref="U28:V28"/>
    <mergeCell ref="L24:P24"/>
    <mergeCell ref="Q24:R24"/>
    <mergeCell ref="S24:T24"/>
    <mergeCell ref="U24:V24"/>
    <mergeCell ref="G9:V9"/>
    <mergeCell ref="R5:V5"/>
    <mergeCell ref="R6:S6"/>
    <mergeCell ref="T6:V6"/>
    <mergeCell ref="A99:V99"/>
    <mergeCell ref="A100:V100"/>
    <mergeCell ref="A101:V101"/>
    <mergeCell ref="L123:N123"/>
    <mergeCell ref="O123:P123"/>
    <mergeCell ref="A48:B48"/>
    <mergeCell ref="A49:B49"/>
    <mergeCell ref="F36:H39"/>
    <mergeCell ref="E76:F76"/>
    <mergeCell ref="F59:G59"/>
    <mergeCell ref="G68:H68"/>
    <mergeCell ref="G69:H69"/>
    <mergeCell ref="G70:H70"/>
    <mergeCell ref="G71:H71"/>
    <mergeCell ref="G72:H72"/>
    <mergeCell ref="G73:H73"/>
    <mergeCell ref="G74:H74"/>
    <mergeCell ref="G50:I50"/>
    <mergeCell ref="G51:I51"/>
  </mergeCells>
  <phoneticPr fontId="2"/>
  <dataValidations count="4">
    <dataValidation type="list" allowBlank="1" showInputMessage="1" showErrorMessage="1" sqref="F60:H60">
      <formula1>"0,1500,3000"</formula1>
    </dataValidation>
    <dataValidation type="list" allowBlank="1" showInputMessage="1" showErrorMessage="1" sqref="K114:K118 K92:K97 K68:K87 T144 T123 T130 T137 K105:K109">
      <formula1>$A$45:$A$51</formula1>
    </dataValidation>
    <dataValidation type="list" allowBlank="1" showInputMessage="1" showErrorMessage="1" sqref="C8:D8">
      <formula1>"TCJ,TEC,TOS"</formula1>
    </dataValidation>
    <dataValidation type="custom" operator="equal" allowBlank="1" showInputMessage="1" showErrorMessage="1" error="小数点第5位以下は入力不可です。第4位までの入力としてください（小数点第5位で四捨五入）。" sqref="G45:I51">
      <formula1>ROUND(G45,4)=G45</formula1>
    </dataValidation>
  </dataValidations>
  <pageMargins left="0.39370078740157483" right="0.39370078740157483" top="0.39370078740157483" bottom="0.19685039370078741" header="0.31496062992125984" footer="0.31496062992125984"/>
  <pageSetup paperSize="9" scale="91" fitToHeight="0" orientation="portrait" r:id="rId1"/>
  <headerFooter>
    <oddFooter>&amp;C&amp;8&amp;P/&amp;N</oddFooter>
  </headerFooter>
  <rowBreaks count="3" manualBreakCount="3">
    <brk id="53" max="21" man="1"/>
    <brk id="102" max="21" man="1"/>
    <brk id="151" max="21"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Sheet2!$A$8:$A$17</xm:f>
          </x14:formula1>
          <xm:sqref>D181:K181 D187:K187 D193:K193 D199:K199</xm:sqref>
        </x14:dataValidation>
        <x14:dataValidation type="list" allowBlank="1" showInputMessage="1" showErrorMessage="1">
          <x14:formula1>
            <xm:f>Sheet2!$A$2:$A$6</xm:f>
          </x14:formula1>
          <xm:sqref>D122:K122 D129:K129 D136:K136 D143:K143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7"/>
  <sheetViews>
    <sheetView workbookViewId="0">
      <selection activeCell="D20" sqref="D20"/>
    </sheetView>
  </sheetViews>
  <sheetFormatPr defaultRowHeight="10.8"/>
  <cols>
    <col min="1" max="1" width="48.625" bestFit="1" customWidth="1"/>
    <col min="2" max="2" width="20.125" bestFit="1" customWidth="1"/>
  </cols>
  <sheetData>
    <row r="2" spans="1:3" s="8" customFormat="1">
      <c r="A2" s="8" t="s">
        <v>138</v>
      </c>
    </row>
    <row r="3" spans="1:3">
      <c r="A3" t="s">
        <v>155</v>
      </c>
      <c r="B3" t="s">
        <v>161</v>
      </c>
      <c r="C3" t="s">
        <v>164</v>
      </c>
    </row>
    <row r="4" spans="1:3">
      <c r="A4" t="s">
        <v>156</v>
      </c>
      <c r="B4" t="s">
        <v>162</v>
      </c>
      <c r="C4" s="8" t="s">
        <v>165</v>
      </c>
    </row>
    <row r="5" spans="1:3">
      <c r="A5" t="s">
        <v>127</v>
      </c>
      <c r="B5" s="8" t="s">
        <v>162</v>
      </c>
      <c r="C5" t="s">
        <v>165</v>
      </c>
    </row>
    <row r="6" spans="1:3">
      <c r="A6" t="s">
        <v>136</v>
      </c>
      <c r="B6" s="8" t="s">
        <v>162</v>
      </c>
      <c r="C6" s="8" t="s">
        <v>165</v>
      </c>
    </row>
    <row r="8" spans="1:3" s="8" customFormat="1">
      <c r="A8" s="8" t="s">
        <v>138</v>
      </c>
    </row>
    <row r="9" spans="1:3">
      <c r="A9" t="s">
        <v>183</v>
      </c>
      <c r="B9" s="8" t="s">
        <v>174</v>
      </c>
      <c r="C9" t="s">
        <v>178</v>
      </c>
    </row>
    <row r="10" spans="1:3" s="8" customFormat="1">
      <c r="A10" s="8" t="s">
        <v>184</v>
      </c>
      <c r="B10" s="8" t="s">
        <v>175</v>
      </c>
      <c r="C10" s="8" t="s">
        <v>179</v>
      </c>
    </row>
    <row r="11" spans="1:3">
      <c r="A11" t="s">
        <v>185</v>
      </c>
      <c r="B11" s="8" t="s">
        <v>176</v>
      </c>
      <c r="C11" t="s">
        <v>180</v>
      </c>
    </row>
    <row r="12" spans="1:3" s="8" customFormat="1">
      <c r="A12" s="8" t="s">
        <v>186</v>
      </c>
      <c r="B12" s="8" t="s">
        <v>177</v>
      </c>
      <c r="C12" s="8" t="s">
        <v>181</v>
      </c>
    </row>
    <row r="13" spans="1:3">
      <c r="A13" t="s">
        <v>187</v>
      </c>
      <c r="B13" s="8" t="s">
        <v>176</v>
      </c>
      <c r="C13" s="8" t="s">
        <v>182</v>
      </c>
    </row>
    <row r="14" spans="1:3" s="8" customFormat="1">
      <c r="A14" s="8" t="s">
        <v>188</v>
      </c>
      <c r="B14" s="8" t="s">
        <v>177</v>
      </c>
      <c r="C14" s="8" t="s">
        <v>181</v>
      </c>
    </row>
    <row r="15" spans="1:3">
      <c r="A15" t="s">
        <v>189</v>
      </c>
      <c r="B15" s="8" t="s">
        <v>176</v>
      </c>
      <c r="C15" s="8" t="s">
        <v>180</v>
      </c>
    </row>
    <row r="16" spans="1:3" s="8" customFormat="1">
      <c r="A16" s="8" t="s">
        <v>190</v>
      </c>
      <c r="B16" s="8" t="s">
        <v>177</v>
      </c>
      <c r="C16" s="8" t="s">
        <v>181</v>
      </c>
    </row>
    <row r="17" spans="1:3">
      <c r="A17" t="s">
        <v>137</v>
      </c>
      <c r="B17" s="8" t="s">
        <v>163</v>
      </c>
      <c r="C17" t="s">
        <v>166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秋野 浩隆</dc:creator>
  <cp:lastModifiedBy>秋野 浩隆</cp:lastModifiedBy>
  <cp:lastPrinted>2019-09-18T02:05:32Z</cp:lastPrinted>
  <dcterms:created xsi:type="dcterms:W3CDTF">2018-04-16T08:42:13Z</dcterms:created>
  <dcterms:modified xsi:type="dcterms:W3CDTF">2019-09-18T02:09:09Z</dcterms:modified>
</cp:coreProperties>
</file>